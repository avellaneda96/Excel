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ver\Power bi and excel\Probstactive\"/>
    </mc:Choice>
  </mc:AlternateContent>
  <xr:revisionPtr revIDLastSave="0" documentId="13_ncr:1_{E043BB54-627F-4E1B-8FA1-CEF5A85C7CA4}" xr6:coauthVersionLast="47" xr6:coauthVersionMax="47" xr10:uidLastSave="{00000000-0000-0000-0000-000000000000}"/>
  <bookViews>
    <workbookView xWindow="-120" yWindow="-120" windowWidth="20730" windowHeight="11040" firstSheet="1" activeTab="5" xr2:uid="{53A1ABE6-B824-45E0-AAC2-D49E5D3C830C}"/>
  </bookViews>
  <sheets>
    <sheet name="Inicio" sheetId="16" r:id="rId1"/>
    <sheet name="Lista de Productos" sheetId="1" r:id="rId2"/>
    <sheet name="Entrada" sheetId="2" r:id="rId3"/>
    <sheet name="Entrada Gastos Fijos" sheetId="13" r:id="rId4"/>
    <sheet name="Salida" sheetId="5" r:id="rId5"/>
    <sheet name="Ingresos-Gastos" sheetId="14" r:id="rId6"/>
    <sheet name="Tablas" sheetId="12" r:id="rId7"/>
    <sheet name="Inventario" sheetId="6" r:id="rId8"/>
    <sheet name="INGRESOS EGRESOS" sheetId="10" state="hidden" r:id="rId9"/>
    <sheet name="Listas validadas" sheetId="3" state="hidden" r:id="rId10"/>
  </sheets>
  <calcPr calcId="191029"/>
  <pivotCaches>
    <pivotCache cacheId="20" r:id="rId11"/>
    <pivotCache cacheId="23" r:id="rId12"/>
    <pivotCache cacheId="26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3" l="1"/>
  <c r="F21" i="13" l="1"/>
  <c r="H16" i="5"/>
  <c r="E16" i="2"/>
  <c r="D16" i="2"/>
  <c r="H16" i="2" s="1"/>
  <c r="C16" i="2"/>
  <c r="E17" i="2"/>
  <c r="D17" i="2"/>
  <c r="H17" i="2" s="1"/>
  <c r="C17" i="2"/>
  <c r="H17" i="5"/>
  <c r="H18" i="5"/>
  <c r="H19" i="5"/>
  <c r="H20" i="5"/>
  <c r="H21" i="5"/>
  <c r="H22" i="5"/>
  <c r="H23" i="5"/>
  <c r="H24" i="5"/>
  <c r="H25" i="5"/>
  <c r="E18" i="2"/>
  <c r="D18" i="2"/>
  <c r="H18" i="2" s="1"/>
  <c r="C18" i="2"/>
  <c r="H26" i="5"/>
  <c r="H27" i="5"/>
  <c r="E19" i="2"/>
  <c r="D19" i="2"/>
  <c r="H19" i="2" s="1"/>
  <c r="C19" i="2"/>
  <c r="H28" i="5"/>
  <c r="E20" i="2"/>
  <c r="D20" i="2"/>
  <c r="H20" i="2" s="1"/>
  <c r="C20" i="2"/>
  <c r="F26" i="13"/>
  <c r="E21" i="2"/>
  <c r="D21" i="2"/>
  <c r="H21" i="2" s="1"/>
  <c r="C21" i="2"/>
  <c r="H29" i="5"/>
  <c r="E22" i="2"/>
  <c r="D22" i="2"/>
  <c r="H22" i="2" s="1"/>
  <c r="C22" i="2"/>
  <c r="E23" i="2"/>
  <c r="D23" i="2"/>
  <c r="H23" i="2" s="1"/>
  <c r="C23" i="2"/>
  <c r="E6" i="14"/>
  <c r="F6" i="14"/>
  <c r="G6" i="14"/>
  <c r="H6" i="14"/>
  <c r="I6" i="14"/>
  <c r="J6" i="14"/>
  <c r="K6" i="14"/>
  <c r="L6" i="14"/>
  <c r="M6" i="14"/>
  <c r="N6" i="14"/>
  <c r="O6" i="14"/>
  <c r="D6" i="14"/>
  <c r="F5" i="14"/>
  <c r="G5" i="14"/>
  <c r="H5" i="14"/>
  <c r="I5" i="14"/>
  <c r="J5" i="14"/>
  <c r="K5" i="14"/>
  <c r="L5" i="14"/>
  <c r="M5" i="14"/>
  <c r="N5" i="14"/>
  <c r="O5" i="14"/>
  <c r="E5" i="14"/>
  <c r="D5" i="14"/>
  <c r="F22" i="13"/>
  <c r="F23" i="13"/>
  <c r="F24" i="13"/>
  <c r="F25" i="13"/>
  <c r="H30" i="5"/>
  <c r="H31" i="5"/>
  <c r="H32" i="5"/>
  <c r="H33" i="5"/>
  <c r="H34" i="5"/>
  <c r="E24" i="2"/>
  <c r="D24" i="2"/>
  <c r="H24" i="2" s="1"/>
  <c r="C24" i="2"/>
  <c r="E25" i="2"/>
  <c r="D25" i="2"/>
  <c r="H25" i="2" s="1"/>
  <c r="C25" i="2"/>
  <c r="H35" i="5"/>
  <c r="H36" i="5"/>
  <c r="E26" i="2"/>
  <c r="D26" i="2"/>
  <c r="H26" i="2" s="1"/>
  <c r="C26" i="2"/>
  <c r="E27" i="2"/>
  <c r="D27" i="2"/>
  <c r="H27" i="2" s="1"/>
  <c r="C27" i="2"/>
  <c r="E28" i="2"/>
  <c r="D28" i="2"/>
  <c r="H28" i="2" s="1"/>
  <c r="C28" i="2"/>
  <c r="E29" i="2"/>
  <c r="D29" i="2"/>
  <c r="H29" i="2" s="1"/>
  <c r="C29" i="2"/>
  <c r="E30" i="2"/>
  <c r="D30" i="2"/>
  <c r="H30" i="2" s="1"/>
  <c r="C30" i="2"/>
  <c r="E31" i="2"/>
  <c r="D31" i="2"/>
  <c r="H31" i="2" s="1"/>
  <c r="C31" i="2"/>
  <c r="E32" i="2"/>
  <c r="D32" i="2"/>
  <c r="H32" i="2" s="1"/>
  <c r="C32" i="2"/>
  <c r="E33" i="2"/>
  <c r="D33" i="2"/>
  <c r="H33" i="2" s="1"/>
  <c r="C33" i="2"/>
  <c r="E34" i="2"/>
  <c r="D34" i="2"/>
  <c r="H34" i="2" s="1"/>
  <c r="C34" i="2"/>
  <c r="H37" i="5"/>
  <c r="H38" i="5"/>
  <c r="H39" i="5"/>
  <c r="H40" i="5"/>
  <c r="H41" i="5"/>
  <c r="H42" i="5"/>
  <c r="E43" i="5"/>
  <c r="D43" i="5"/>
  <c r="H43" i="5" s="1"/>
  <c r="C43" i="5"/>
  <c r="E35" i="2"/>
  <c r="D35" i="2"/>
  <c r="H35" i="2" s="1"/>
  <c r="C35" i="2"/>
  <c r="E36" i="2"/>
  <c r="D36" i="2"/>
  <c r="H36" i="2" s="1"/>
  <c r="C36" i="2"/>
  <c r="E8" i="14" l="1"/>
  <c r="M8" i="14"/>
  <c r="D8" i="14"/>
  <c r="D9" i="14" s="1"/>
  <c r="H8" i="14"/>
  <c r="O8" i="14"/>
  <c r="G8" i="14"/>
  <c r="F8" i="14"/>
  <c r="N8" i="14"/>
  <c r="J8" i="14"/>
  <c r="L8" i="14"/>
  <c r="K8" i="14"/>
  <c r="I8" i="14"/>
  <c r="E37" i="2"/>
  <c r="D37" i="2"/>
  <c r="H37" i="2" s="1"/>
  <c r="C37" i="2"/>
  <c r="E38" i="2"/>
  <c r="D38" i="2"/>
  <c r="H38" i="2" s="1"/>
  <c r="C38" i="2"/>
  <c r="E39" i="2"/>
  <c r="D39" i="2"/>
  <c r="H39" i="2" s="1"/>
  <c r="C39" i="2"/>
  <c r="E40" i="2"/>
  <c r="D40" i="2"/>
  <c r="H40" i="2" s="1"/>
  <c r="C40" i="2"/>
  <c r="E44" i="5"/>
  <c r="D44" i="5"/>
  <c r="H44" i="5" s="1"/>
  <c r="C44" i="5"/>
  <c r="E45" i="5"/>
  <c r="D45" i="5"/>
  <c r="H45" i="5" s="1"/>
  <c r="C45" i="5"/>
  <c r="E46" i="5"/>
  <c r="D46" i="5"/>
  <c r="H46" i="5" s="1"/>
  <c r="C46" i="5"/>
  <c r="E47" i="5"/>
  <c r="D47" i="5"/>
  <c r="H47" i="5" s="1"/>
  <c r="C47" i="5"/>
  <c r="E48" i="5"/>
  <c r="D48" i="5"/>
  <c r="H48" i="5" s="1"/>
  <c r="C48" i="5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49" i="5"/>
  <c r="H50" i="5"/>
  <c r="H51" i="5"/>
  <c r="E9" i="14" l="1"/>
  <c r="F9" i="14" s="1"/>
  <c r="G9" i="14" s="1"/>
  <c r="H9" i="14" s="1"/>
  <c r="I9" i="14" s="1"/>
  <c r="J9" i="14" s="1"/>
  <c r="K9" i="14" s="1"/>
  <c r="L9" i="14" s="1"/>
  <c r="M9" i="14" s="1"/>
  <c r="N9" i="14" s="1"/>
  <c r="O9" i="14" s="1"/>
  <c r="E41" i="2"/>
  <c r="D41" i="2"/>
  <c r="H41" i="2" s="1"/>
  <c r="J13" i="14" s="1"/>
  <c r="C41" i="2"/>
  <c r="E42" i="2"/>
  <c r="D42" i="2"/>
  <c r="H42" i="2" s="1"/>
  <c r="C42" i="2"/>
  <c r="C8" i="2"/>
  <c r="K13" i="10"/>
  <c r="G20" i="10" s="1"/>
  <c r="C13" i="10"/>
  <c r="C9" i="5"/>
  <c r="C8" i="5"/>
  <c r="C49" i="5"/>
  <c r="C50" i="5"/>
  <c r="C51" i="5"/>
  <c r="E43" i="2" l="1"/>
  <c r="C43" i="2"/>
  <c r="E44" i="2"/>
  <c r="C44" i="2"/>
  <c r="E45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C9" i="2"/>
  <c r="E53" i="5"/>
  <c r="E52" i="5"/>
  <c r="D52" i="5"/>
  <c r="H52" i="5" s="1"/>
  <c r="C52" i="5"/>
  <c r="C53" i="5"/>
  <c r="C54" i="5"/>
  <c r="C55" i="5"/>
  <c r="C56" i="5"/>
  <c r="C57" i="5"/>
  <c r="C58" i="5"/>
  <c r="C59" i="5"/>
  <c r="C60" i="5"/>
  <c r="D53" i="5"/>
  <c r="H53" i="5" s="1"/>
  <c r="D54" i="5"/>
  <c r="H54" i="5" s="1"/>
  <c r="D55" i="5"/>
  <c r="H55" i="5" s="1"/>
  <c r="D56" i="5"/>
  <c r="H56" i="5" s="1"/>
  <c r="D57" i="5"/>
  <c r="H57" i="5" s="1"/>
  <c r="D58" i="5"/>
  <c r="H58" i="5" s="1"/>
  <c r="D59" i="5"/>
  <c r="H59" i="5" s="1"/>
  <c r="D60" i="5"/>
  <c r="H60" i="5" s="1"/>
  <c r="E54" i="5"/>
  <c r="E55" i="5"/>
  <c r="E56" i="5"/>
  <c r="E57" i="5"/>
  <c r="E58" i="5"/>
  <c r="E59" i="5"/>
  <c r="E60" i="5"/>
  <c r="C7" i="5"/>
  <c r="C7" i="2"/>
  <c r="F13" i="14" l="1"/>
  <c r="N13" i="14" s="1"/>
  <c r="H10" i="6"/>
  <c r="H18" i="6"/>
  <c r="H30" i="6"/>
  <c r="H22" i="6"/>
  <c r="H13" i="6"/>
  <c r="I31" i="6"/>
  <c r="I10" i="6"/>
  <c r="I41" i="6"/>
  <c r="I25" i="6"/>
  <c r="I30" i="6"/>
  <c r="I14" i="6"/>
  <c r="I39" i="6"/>
  <c r="I29" i="6"/>
  <c r="I34" i="6"/>
  <c r="I18" i="6"/>
  <c r="I36" i="6"/>
  <c r="I40" i="6"/>
  <c r="I27" i="6"/>
  <c r="I11" i="6"/>
  <c r="I35" i="6"/>
  <c r="I9" i="6"/>
  <c r="I38" i="6"/>
  <c r="I33" i="6"/>
  <c r="I16" i="6"/>
  <c r="I28" i="6"/>
  <c r="I20" i="6"/>
  <c r="I15" i="6"/>
  <c r="I22" i="6"/>
  <c r="I17" i="6"/>
  <c r="I21" i="6"/>
  <c r="I32" i="6"/>
  <c r="I12" i="6"/>
  <c r="I13" i="6"/>
  <c r="I26" i="6"/>
  <c r="I37" i="6"/>
  <c r="I23" i="6"/>
  <c r="I19" i="6"/>
  <c r="I24" i="6"/>
  <c r="H9" i="6"/>
  <c r="H32" i="6"/>
  <c r="H33" i="6"/>
  <c r="H20" i="6"/>
  <c r="H15" i="6"/>
  <c r="H12" i="6"/>
  <c r="H36" i="6"/>
  <c r="H35" i="6"/>
  <c r="H34" i="6"/>
  <c r="H17" i="6"/>
  <c r="H27" i="6"/>
  <c r="H21" i="6"/>
  <c r="H37" i="6"/>
  <c r="H16" i="6"/>
  <c r="H23" i="6"/>
  <c r="H26" i="6"/>
  <c r="H39" i="6"/>
  <c r="H24" i="6"/>
  <c r="H28" i="6"/>
  <c r="H29" i="6"/>
  <c r="H40" i="6"/>
  <c r="H25" i="6"/>
  <c r="H41" i="6"/>
  <c r="H38" i="6"/>
  <c r="H19" i="6"/>
  <c r="H14" i="6"/>
  <c r="H31" i="6"/>
  <c r="H11" i="6"/>
  <c r="K30" i="6" l="1"/>
  <c r="K13" i="6"/>
  <c r="K12" i="6"/>
  <c r="K16" i="6"/>
  <c r="K36" i="6"/>
  <c r="K26" i="6"/>
  <c r="K41" i="6"/>
  <c r="K23" i="6"/>
  <c r="K32" i="6"/>
  <c r="K33" i="6"/>
  <c r="K18" i="6"/>
  <c r="K10" i="6"/>
  <c r="K24" i="6"/>
  <c r="K21" i="6"/>
  <c r="K38" i="6"/>
  <c r="K34" i="6"/>
  <c r="K31" i="6"/>
  <c r="K19" i="6"/>
  <c r="K17" i="6"/>
  <c r="K9" i="6"/>
  <c r="K29" i="6"/>
  <c r="J22" i="6"/>
  <c r="K22" i="6"/>
  <c r="K35" i="6"/>
  <c r="K39" i="6"/>
  <c r="K37" i="6"/>
  <c r="K15" i="6"/>
  <c r="K11" i="6"/>
  <c r="K14" i="6"/>
  <c r="K20" i="6"/>
  <c r="K27" i="6"/>
  <c r="K28" i="6"/>
  <c r="K40" i="6"/>
  <c r="K25" i="6"/>
  <c r="J31" i="6"/>
  <c r="J13" i="6"/>
  <c r="J10" i="6"/>
  <c r="J18" i="6"/>
  <c r="J30" i="6"/>
  <c r="J11" i="6"/>
  <c r="J41" i="6"/>
  <c r="J28" i="6"/>
  <c r="J29" i="6"/>
  <c r="J27" i="6"/>
  <c r="J15" i="6"/>
  <c r="J14" i="6"/>
  <c r="J39" i="6"/>
  <c r="J26" i="6"/>
  <c r="J37" i="6"/>
  <c r="J20" i="6"/>
  <c r="J34" i="6"/>
  <c r="J35" i="6"/>
  <c r="J19" i="6"/>
  <c r="J16" i="6"/>
  <c r="J12" i="6"/>
  <c r="J25" i="6"/>
  <c r="J21" i="6"/>
  <c r="J33" i="6"/>
  <c r="J24" i="6"/>
  <c r="J17" i="6"/>
  <c r="J32" i="6"/>
  <c r="J40" i="6"/>
  <c r="J9" i="6"/>
  <c r="J38" i="6"/>
  <c r="J23" i="6"/>
  <c r="J36" i="6"/>
  <c r="B13" i="14" l="1"/>
</calcChain>
</file>

<file path=xl/sharedStrings.xml><?xml version="1.0" encoding="utf-8"?>
<sst xmlns="http://schemas.openxmlformats.org/spreadsheetml/2006/main" count="445" uniqueCount="132">
  <si>
    <t>Modelo</t>
  </si>
  <si>
    <t>Marca</t>
  </si>
  <si>
    <t>Código</t>
  </si>
  <si>
    <t>Precio (S)</t>
  </si>
  <si>
    <t>Cantidad</t>
  </si>
  <si>
    <t>Modelo/Producto</t>
  </si>
  <si>
    <t>Entrada</t>
  </si>
  <si>
    <t>Salida</t>
  </si>
  <si>
    <t>Stock</t>
  </si>
  <si>
    <t>Precio Entrada(S/)</t>
  </si>
  <si>
    <t>Precio de Salida(S/)</t>
  </si>
  <si>
    <t>Ganancia(S/)</t>
  </si>
  <si>
    <t>Leggings no brillantes</t>
  </si>
  <si>
    <t>Leggings brillantes</t>
  </si>
  <si>
    <t xml:space="preserve">Shorts </t>
  </si>
  <si>
    <t>Top Charlotte</t>
  </si>
  <si>
    <t>Top Isabella</t>
  </si>
  <si>
    <t>Top Olivia</t>
  </si>
  <si>
    <t>Top Amelia</t>
  </si>
  <si>
    <t>Top Emma</t>
  </si>
  <si>
    <t>V100M</t>
  </si>
  <si>
    <t>V200M</t>
  </si>
  <si>
    <t>V300M</t>
  </si>
  <si>
    <t>V400M</t>
  </si>
  <si>
    <t>V600M</t>
  </si>
  <si>
    <t>V700M</t>
  </si>
  <si>
    <t>V800M</t>
  </si>
  <si>
    <t>V900M</t>
  </si>
  <si>
    <t>V500M</t>
  </si>
  <si>
    <t>J100M</t>
  </si>
  <si>
    <t>J100H</t>
  </si>
  <si>
    <t>Buzo cremallera Mujer</t>
  </si>
  <si>
    <t>Buzo cremallera Hombre</t>
  </si>
  <si>
    <t>J200U</t>
  </si>
  <si>
    <t>Hoodie Poliester</t>
  </si>
  <si>
    <t>Jogger Poliester</t>
  </si>
  <si>
    <t>Bividí cuello alto</t>
  </si>
  <si>
    <t>Bividí normal</t>
  </si>
  <si>
    <t>Sweater Algodón</t>
  </si>
  <si>
    <t>Bolsas de entrenamiento</t>
  </si>
  <si>
    <t>Bucket Hat</t>
  </si>
  <si>
    <t xml:space="preserve">Gorras </t>
  </si>
  <si>
    <t>Pantalonetas Sublimadas</t>
  </si>
  <si>
    <t>Camisetas Básicas algodón</t>
  </si>
  <si>
    <t xml:space="preserve">Camisetas Estampadas algodón </t>
  </si>
  <si>
    <t>Tanks Básicas algodón</t>
  </si>
  <si>
    <t>Top estampados algodón mujer</t>
  </si>
  <si>
    <t>Camisetas Poliester</t>
  </si>
  <si>
    <t>Guantes Boxeo Unisex</t>
  </si>
  <si>
    <t>Vendas 3m</t>
  </si>
  <si>
    <t>Medias algodón</t>
  </si>
  <si>
    <t>J300U</t>
  </si>
  <si>
    <t>J400H</t>
  </si>
  <si>
    <t>J500H</t>
  </si>
  <si>
    <t>J600H</t>
  </si>
  <si>
    <t>J700H</t>
  </si>
  <si>
    <t>JACC1</t>
  </si>
  <si>
    <t>JACC2</t>
  </si>
  <si>
    <t>JACC3</t>
  </si>
  <si>
    <t>J800H</t>
  </si>
  <si>
    <t>J900H</t>
  </si>
  <si>
    <t>D100U</t>
  </si>
  <si>
    <t>D200U</t>
  </si>
  <si>
    <t>D300H</t>
  </si>
  <si>
    <t>D400M</t>
  </si>
  <si>
    <t>MBOXV</t>
  </si>
  <si>
    <t>MBOX</t>
  </si>
  <si>
    <t>DSOCKS</t>
  </si>
  <si>
    <t>Cantidad prendas</t>
  </si>
  <si>
    <t>Probst Vane</t>
  </si>
  <si>
    <t>Probst Jfer</t>
  </si>
  <si>
    <t>Probst Dan</t>
  </si>
  <si>
    <t>Probst Marg</t>
  </si>
  <si>
    <t>Probst Medias</t>
  </si>
  <si>
    <t>Faldas Short</t>
  </si>
  <si>
    <t>Bividí Capucha</t>
  </si>
  <si>
    <t>P Inversion</t>
  </si>
  <si>
    <t>P Venta</t>
  </si>
  <si>
    <t>FECHA</t>
  </si>
  <si>
    <t>MES</t>
  </si>
  <si>
    <t>FEBRERO</t>
  </si>
  <si>
    <t>INGRESOS</t>
  </si>
  <si>
    <t>FALDAS</t>
  </si>
  <si>
    <t>SHORT</t>
  </si>
  <si>
    <t>LEGGING BRILLANTE</t>
  </si>
  <si>
    <t>LEGGING NO BRILLANTE</t>
  </si>
  <si>
    <t>EGRESOS</t>
  </si>
  <si>
    <t>PROBST</t>
  </si>
  <si>
    <t>PRECIO</t>
  </si>
  <si>
    <t>CANTIDAD</t>
  </si>
  <si>
    <t>SUELDO ANTONIO</t>
  </si>
  <si>
    <t>PAGO PINTURA LOCAL</t>
  </si>
  <si>
    <t>BIVIDI CUELLO ALTO</t>
  </si>
  <si>
    <t>TOP CHARLOTTE</t>
  </si>
  <si>
    <t>UTILIDAD FEBRERO</t>
  </si>
  <si>
    <t>Fecha</t>
  </si>
  <si>
    <t>Monto</t>
  </si>
  <si>
    <t>Etiquetas de fila</t>
  </si>
  <si>
    <t>Total general</t>
  </si>
  <si>
    <t>Feb</t>
  </si>
  <si>
    <t>Mar</t>
  </si>
  <si>
    <t>Abr</t>
  </si>
  <si>
    <t>May</t>
  </si>
  <si>
    <t>Gastos Inversión</t>
  </si>
  <si>
    <t>Gasto Fijo</t>
  </si>
  <si>
    <t>Costo (S)</t>
  </si>
  <si>
    <t>Costo (S/)</t>
  </si>
  <si>
    <t>Alquiler</t>
  </si>
  <si>
    <t>Sueldo</t>
  </si>
  <si>
    <t>Luz</t>
  </si>
  <si>
    <t>Agua</t>
  </si>
  <si>
    <t>Jun</t>
  </si>
  <si>
    <t>Ingresos Ventas</t>
  </si>
  <si>
    <t>Ingresos</t>
  </si>
  <si>
    <t>Ene</t>
  </si>
  <si>
    <t>Jul</t>
  </si>
  <si>
    <t>Ago</t>
  </si>
  <si>
    <t>Set</t>
  </si>
  <si>
    <t>Oct</t>
  </si>
  <si>
    <t>Nov</t>
  </si>
  <si>
    <t>Dic</t>
  </si>
  <si>
    <t>Suma de Costo (S/)</t>
  </si>
  <si>
    <t>Resultado Mensual Ingresos-Egresos</t>
  </si>
  <si>
    <t>Sistema de ventas e inventario Probst Active</t>
  </si>
  <si>
    <t>Resultado por mes</t>
  </si>
  <si>
    <t>Saldo acumulado</t>
  </si>
  <si>
    <t>Recuperación de Inversión</t>
  </si>
  <si>
    <t>Gastos(Inversión +Fijos)</t>
  </si>
  <si>
    <t>Ganancia Total</t>
  </si>
  <si>
    <t>Meses</t>
  </si>
  <si>
    <t>Pinturas</t>
  </si>
  <si>
    <t>Gastos(Inv+Fij)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</si>
</sst>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;[Red]&quot;$&quot;\-#,##0"/>
    <numFmt numFmtId="165" formatCode="&quot;$&quot;#,##0.00;[Red]&quot;$&quot;\-#,##0.00"/>
  </numFmts>
  <fonts count="1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Adobe Garamond Pro Bold"/>
      <family val="1"/>
    </font>
    <font>
      <b/>
      <i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FFC9F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F3A87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1" xfId="0" applyBorder="1"/>
    <xf numFmtId="0" fontId="2" fillId="2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center"/>
    </xf>
    <xf numFmtId="0" fontId="0" fillId="0" borderId="9" xfId="0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0" fillId="0" borderId="8" xfId="0" applyBorder="1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6" borderId="5" xfId="0" applyFont="1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9" xfId="0" applyFill="1" applyBorder="1"/>
    <xf numFmtId="0" fontId="0" fillId="5" borderId="1" xfId="0" applyFill="1" applyBorder="1"/>
    <xf numFmtId="0" fontId="0" fillId="7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8" borderId="1" xfId="0" applyFill="1" applyBorder="1"/>
    <xf numFmtId="0" fontId="0" fillId="12" borderId="1" xfId="0" applyFill="1" applyBorder="1"/>
    <xf numFmtId="0" fontId="0" fillId="13" borderId="1" xfId="0" applyFill="1" applyBorder="1"/>
    <xf numFmtId="164" fontId="0" fillId="7" borderId="1" xfId="0" applyNumberFormat="1" applyFill="1" applyBorder="1" applyAlignment="1">
      <alignment horizontal="center"/>
    </xf>
    <xf numFmtId="164" fontId="0" fillId="11" borderId="1" xfId="0" applyNumberFormat="1" applyFill="1" applyBorder="1" applyAlignment="1">
      <alignment horizontal="center"/>
    </xf>
    <xf numFmtId="165" fontId="0" fillId="7" borderId="3" xfId="0" applyNumberFormat="1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164" fontId="0" fillId="9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3" borderId="1" xfId="0" applyFill="1" applyBorder="1"/>
    <xf numFmtId="0" fontId="2" fillId="2" borderId="9" xfId="0" applyFont="1" applyFill="1" applyBorder="1" applyAlignment="1">
      <alignment horizontal="left"/>
    </xf>
    <xf numFmtId="0" fontId="0" fillId="5" borderId="0" xfId="0" applyFill="1"/>
    <xf numFmtId="0" fontId="2" fillId="2" borderId="0" xfId="0" applyFont="1" applyFill="1" applyAlignment="1">
      <alignment horizontal="left"/>
    </xf>
    <xf numFmtId="14" fontId="0" fillId="0" borderId="1" xfId="0" applyNumberFormat="1" applyBorder="1"/>
    <xf numFmtId="14" fontId="0" fillId="5" borderId="1" xfId="0" applyNumberFormat="1" applyFill="1" applyBorder="1"/>
    <xf numFmtId="0" fontId="0" fillId="5" borderId="2" xfId="0" applyFill="1" applyBorder="1"/>
    <xf numFmtId="0" fontId="3" fillId="2" borderId="6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8" xfId="0" applyBorder="1" applyAlignment="1">
      <alignment horizontal="right"/>
    </xf>
    <xf numFmtId="14" fontId="0" fillId="0" borderId="8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16" borderId="0" xfId="0" applyFill="1"/>
    <xf numFmtId="0" fontId="9" fillId="16" borderId="0" xfId="0" applyFont="1" applyFill="1" applyAlignment="1">
      <alignment horizontal="center" wrapText="1"/>
    </xf>
    <xf numFmtId="0" fontId="8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8" fillId="16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0" fontId="6" fillId="16" borderId="0" xfId="0" applyFont="1" applyFill="1" applyAlignment="1">
      <alignment horizontal="center"/>
    </xf>
    <xf numFmtId="0" fontId="5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9" fillId="16" borderId="14" xfId="0" applyFont="1" applyFill="1" applyBorder="1" applyAlignment="1">
      <alignment horizontal="center" wrapText="1"/>
    </xf>
    <xf numFmtId="0" fontId="9" fillId="16" borderId="15" xfId="0" applyFont="1" applyFill="1" applyBorder="1" applyAlignment="1">
      <alignment horizontal="center" wrapText="1"/>
    </xf>
    <xf numFmtId="0" fontId="9" fillId="16" borderId="16" xfId="0" applyFont="1" applyFill="1" applyBorder="1" applyAlignment="1">
      <alignment horizontal="center" wrapText="1"/>
    </xf>
    <xf numFmtId="0" fontId="9" fillId="16" borderId="17" xfId="0" applyFont="1" applyFill="1" applyBorder="1" applyAlignment="1">
      <alignment horizontal="center" wrapText="1"/>
    </xf>
    <xf numFmtId="0" fontId="9" fillId="16" borderId="5" xfId="0" applyFont="1" applyFill="1" applyBorder="1" applyAlignment="1">
      <alignment horizontal="center" wrapText="1"/>
    </xf>
    <xf numFmtId="0" fontId="9" fillId="16" borderId="18" xfId="0" applyFont="1" applyFill="1" applyBorder="1" applyAlignment="1">
      <alignment horizontal="center" wrapText="1"/>
    </xf>
    <xf numFmtId="0" fontId="9" fillId="16" borderId="19" xfId="0" applyFont="1" applyFill="1" applyBorder="1" applyAlignment="1">
      <alignment horizontal="center" wrapText="1"/>
    </xf>
    <xf numFmtId="0" fontId="9" fillId="16" borderId="1" xfId="0" applyFont="1" applyFill="1" applyBorder="1" applyAlignment="1">
      <alignment horizontal="center" wrapText="1"/>
    </xf>
    <xf numFmtId="0" fontId="9" fillId="16" borderId="20" xfId="0" applyFont="1" applyFill="1" applyBorder="1" applyAlignment="1">
      <alignment horizontal="center" wrapText="1"/>
    </xf>
    <xf numFmtId="0" fontId="9" fillId="16" borderId="21" xfId="0" applyFont="1" applyFill="1" applyBorder="1" applyAlignment="1">
      <alignment horizontal="center" wrapText="1"/>
    </xf>
    <xf numFmtId="0" fontId="9" fillId="16" borderId="22" xfId="0" applyFont="1" applyFill="1" applyBorder="1" applyAlignment="1">
      <alignment horizontal="center" wrapText="1"/>
    </xf>
    <xf numFmtId="0" fontId="9" fillId="16" borderId="23" xfId="0" applyFont="1" applyFill="1" applyBorder="1" applyAlignment="1">
      <alignment horizontal="center" wrapText="1"/>
    </xf>
    <xf numFmtId="0" fontId="7" fillId="16" borderId="9" xfId="0" applyFont="1" applyFill="1" applyBorder="1" applyAlignment="1">
      <alignment horizontal="center" vertical="center"/>
    </xf>
    <xf numFmtId="0" fontId="7" fillId="16" borderId="10" xfId="0" applyFont="1" applyFill="1" applyBorder="1" applyAlignment="1">
      <alignment horizontal="center" vertical="center"/>
    </xf>
    <xf numFmtId="0" fontId="7" fillId="16" borderId="7" xfId="0" applyFont="1" applyFill="1" applyBorder="1" applyAlignment="1">
      <alignment horizontal="center" vertical="center"/>
    </xf>
    <xf numFmtId="0" fontId="7" fillId="16" borderId="11" xfId="0" applyFont="1" applyFill="1" applyBorder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7" fillId="16" borderId="12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7" fillId="16" borderId="4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0" fillId="17" borderId="10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4" xfId="0" applyFont="1" applyFill="1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 applyNumberFormat="1"/>
    <xf numFmtId="0" fontId="13" fillId="17" borderId="1" xfId="0" applyFont="1" applyFill="1" applyBorder="1" applyAlignment="1">
      <alignment horizontal="center"/>
    </xf>
  </cellXfs>
  <cellStyles count="1">
    <cellStyle name="Normal" xfId="0" builtinId="0"/>
  </cellStyles>
  <dxfs count="49"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border>
        <right style="thin">
          <color indexed="64"/>
        </right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d/mm/yyyy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3399"/>
      <color rgb="FFFF0000"/>
      <color rgb="FFF3A875"/>
      <color rgb="FFFF7D7D"/>
      <color rgb="FFFFC9FF"/>
      <color rgb="FFFF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Ingresos vs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'Ingresos-Gastos'!$C$5</c:f>
              <c:strCache>
                <c:ptCount val="1"/>
                <c:pt idx="0">
                  <c:v>Ingresos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'Ingresos-Gastos'!$D$4:$O$4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'Ingresos-Gastos'!$D$5:$O$5</c:f>
              <c:numCache>
                <c:formatCode>General</c:formatCode>
                <c:ptCount val="12"/>
                <c:pt idx="0">
                  <c:v>416</c:v>
                </c:pt>
                <c:pt idx="1">
                  <c:v>614</c:v>
                </c:pt>
                <c:pt idx="2">
                  <c:v>1291</c:v>
                </c:pt>
                <c:pt idx="3">
                  <c:v>156</c:v>
                </c:pt>
                <c:pt idx="4">
                  <c:v>561</c:v>
                </c:pt>
                <c:pt idx="5">
                  <c:v>571</c:v>
                </c:pt>
                <c:pt idx="6">
                  <c:v>440</c:v>
                </c:pt>
                <c:pt idx="7">
                  <c:v>352</c:v>
                </c:pt>
                <c:pt idx="8">
                  <c:v>176</c:v>
                </c:pt>
                <c:pt idx="9">
                  <c:v>506</c:v>
                </c:pt>
                <c:pt idx="10">
                  <c:v>264</c:v>
                </c:pt>
                <c:pt idx="11">
                  <c:v>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77-4169-840B-36EAACDA199A}"/>
            </c:ext>
          </c:extLst>
        </c:ser>
        <c:ser>
          <c:idx val="1"/>
          <c:order val="1"/>
          <c:tx>
            <c:strRef>
              <c:f>'Ingresos-Gastos'!$C$6</c:f>
              <c:strCache>
                <c:ptCount val="1"/>
                <c:pt idx="0">
                  <c:v>Gastos(Inv+Fij)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'Ingresos-Gastos'!$D$4:$O$4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'Ingresos-Gastos'!$D$6:$O$6</c:f>
              <c:numCache>
                <c:formatCode>General</c:formatCode>
                <c:ptCount val="12"/>
                <c:pt idx="0">
                  <c:v>180</c:v>
                </c:pt>
                <c:pt idx="1">
                  <c:v>870</c:v>
                </c:pt>
                <c:pt idx="2">
                  <c:v>367</c:v>
                </c:pt>
                <c:pt idx="3">
                  <c:v>308.5</c:v>
                </c:pt>
                <c:pt idx="4">
                  <c:v>353.5</c:v>
                </c:pt>
                <c:pt idx="5">
                  <c:v>368</c:v>
                </c:pt>
                <c:pt idx="6">
                  <c:v>24</c:v>
                </c:pt>
                <c:pt idx="7">
                  <c:v>900</c:v>
                </c:pt>
                <c:pt idx="8">
                  <c:v>474</c:v>
                </c:pt>
                <c:pt idx="9">
                  <c:v>304</c:v>
                </c:pt>
                <c:pt idx="10">
                  <c:v>673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77-4169-840B-36EAACDA1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47768399"/>
        <c:axId val="947769231"/>
      </c:barChart>
      <c:catAx>
        <c:axId val="94776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47769231"/>
        <c:crosses val="autoZero"/>
        <c:auto val="1"/>
        <c:lblAlgn val="ctr"/>
        <c:lblOffset val="100"/>
        <c:noMultiLvlLbl val="0"/>
      </c:catAx>
      <c:valAx>
        <c:axId val="94776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4776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Saldo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'Ingresos-Gastos'!$C$9</c:f>
              <c:strCache>
                <c:ptCount val="1"/>
                <c:pt idx="0">
                  <c:v>Saldo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'Ingresos-Gastos'!$D$4:$O$4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'Ingresos-Gastos'!$D$9:$O$9</c:f>
              <c:numCache>
                <c:formatCode>General</c:formatCode>
                <c:ptCount val="12"/>
                <c:pt idx="0">
                  <c:v>236</c:v>
                </c:pt>
                <c:pt idx="1">
                  <c:v>-20</c:v>
                </c:pt>
                <c:pt idx="2">
                  <c:v>904</c:v>
                </c:pt>
                <c:pt idx="3">
                  <c:v>751.5</c:v>
                </c:pt>
                <c:pt idx="4">
                  <c:v>959</c:v>
                </c:pt>
                <c:pt idx="5">
                  <c:v>1162</c:v>
                </c:pt>
                <c:pt idx="6">
                  <c:v>1578</c:v>
                </c:pt>
                <c:pt idx="7">
                  <c:v>1030</c:v>
                </c:pt>
                <c:pt idx="8">
                  <c:v>732</c:v>
                </c:pt>
                <c:pt idx="9">
                  <c:v>934</c:v>
                </c:pt>
                <c:pt idx="10">
                  <c:v>525</c:v>
                </c:pt>
                <c:pt idx="11">
                  <c:v>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1-40A2-BF87-9C9E91576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362367"/>
        <c:axId val="1924350719"/>
      </c:lineChart>
      <c:catAx>
        <c:axId val="192436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24350719"/>
        <c:crosses val="autoZero"/>
        <c:auto val="1"/>
        <c:lblAlgn val="ctr"/>
        <c:lblOffset val="100"/>
        <c:noMultiLvlLbl val="0"/>
      </c:catAx>
      <c:valAx>
        <c:axId val="192435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24362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ventario!A1"/><Relationship Id="rId3" Type="http://schemas.openxmlformats.org/officeDocument/2006/relationships/hyperlink" Target="#'Ingresos-Gastos'!A1"/><Relationship Id="rId7" Type="http://schemas.openxmlformats.org/officeDocument/2006/relationships/hyperlink" Target="#Tablas!A1"/><Relationship Id="rId2" Type="http://schemas.openxmlformats.org/officeDocument/2006/relationships/hyperlink" Target="#Salida!A1"/><Relationship Id="rId1" Type="http://schemas.openxmlformats.org/officeDocument/2006/relationships/hyperlink" Target="#Entrada!A1"/><Relationship Id="rId6" Type="http://schemas.openxmlformats.org/officeDocument/2006/relationships/hyperlink" Target="#'Entrada Gastos Fijos'!A1"/><Relationship Id="rId5" Type="http://schemas.openxmlformats.org/officeDocument/2006/relationships/image" Target="../media/image1.png"/><Relationship Id="rId4" Type="http://schemas.openxmlformats.org/officeDocument/2006/relationships/hyperlink" Target="#'Lista de Producto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5</xdr:row>
      <xdr:rowOff>142875</xdr:rowOff>
    </xdr:from>
    <xdr:to>
      <xdr:col>12</xdr:col>
      <xdr:colOff>66675</xdr:colOff>
      <xdr:row>22</xdr:row>
      <xdr:rowOff>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72000" y="1352550"/>
          <a:ext cx="4276725" cy="3162300"/>
        </a:xfrm>
        <a:prstGeom prst="round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628649</xdr:colOff>
      <xdr:row>7</xdr:row>
      <xdr:rowOff>152400</xdr:rowOff>
    </xdr:from>
    <xdr:to>
      <xdr:col>9</xdr:col>
      <xdr:colOff>123824</xdr:colOff>
      <xdr:row>9</xdr:row>
      <xdr:rowOff>142875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38699" y="1809750"/>
          <a:ext cx="1781175" cy="3714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/>
            <a:t>Entrada</a:t>
          </a:r>
        </a:p>
      </xdr:txBody>
    </xdr:sp>
    <xdr:clientData/>
  </xdr:twoCellAnchor>
  <xdr:twoCellAnchor>
    <xdr:from>
      <xdr:col>6</xdr:col>
      <xdr:colOff>638175</xdr:colOff>
      <xdr:row>12</xdr:row>
      <xdr:rowOff>104775</xdr:rowOff>
    </xdr:from>
    <xdr:to>
      <xdr:col>9</xdr:col>
      <xdr:colOff>133350</xdr:colOff>
      <xdr:row>14</xdr:row>
      <xdr:rowOff>95250</xdr:rowOff>
    </xdr:to>
    <xdr:sp macro="" textlink="">
      <xdr:nvSpPr>
        <xdr:cNvPr id="6" name="Rectángulo: esquinas redondeada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848225" y="2714625"/>
          <a:ext cx="1781175" cy="3714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s-PE" sz="1400">
              <a:solidFill>
                <a:schemeClr val="lt1"/>
              </a:solidFill>
              <a:latin typeface="+mn-lt"/>
              <a:ea typeface="+mn-ea"/>
              <a:cs typeface="+mn-cs"/>
            </a:rPr>
            <a:t>Salida</a:t>
          </a:r>
        </a:p>
      </xdr:txBody>
    </xdr:sp>
    <xdr:clientData/>
  </xdr:twoCellAnchor>
  <xdr:twoCellAnchor>
    <xdr:from>
      <xdr:col>9</xdr:col>
      <xdr:colOff>285750</xdr:colOff>
      <xdr:row>7</xdr:row>
      <xdr:rowOff>142875</xdr:rowOff>
    </xdr:from>
    <xdr:to>
      <xdr:col>11</xdr:col>
      <xdr:colOff>447675</xdr:colOff>
      <xdr:row>9</xdr:row>
      <xdr:rowOff>171450</xdr:rowOff>
    </xdr:to>
    <xdr:sp macro="" textlink="">
      <xdr:nvSpPr>
        <xdr:cNvPr id="7" name="Rectángulo: esquinas redondeada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81800" y="1800225"/>
          <a:ext cx="1685925" cy="409575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/>
            <a:t>Ingresos-Gastos</a:t>
          </a:r>
        </a:p>
      </xdr:txBody>
    </xdr:sp>
    <xdr:clientData/>
  </xdr:twoCellAnchor>
  <xdr:twoCellAnchor>
    <xdr:from>
      <xdr:col>6</xdr:col>
      <xdr:colOff>647699</xdr:colOff>
      <xdr:row>15</xdr:row>
      <xdr:rowOff>38101</xdr:rowOff>
    </xdr:from>
    <xdr:to>
      <xdr:col>9</xdr:col>
      <xdr:colOff>114300</xdr:colOff>
      <xdr:row>17</xdr:row>
      <xdr:rowOff>38101</xdr:rowOff>
    </xdr:to>
    <xdr:sp macro="" textlink="">
      <xdr:nvSpPr>
        <xdr:cNvPr id="8" name="Rectángulo: esquinas redondeada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57749" y="3219451"/>
          <a:ext cx="1752601" cy="3810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s-PE" sz="1400">
              <a:solidFill>
                <a:schemeClr val="lt1"/>
              </a:solidFill>
              <a:latin typeface="+mn-lt"/>
              <a:ea typeface="+mn-ea"/>
              <a:cs typeface="+mn-cs"/>
            </a:rPr>
            <a:t>Lista de productos</a:t>
          </a:r>
        </a:p>
      </xdr:txBody>
    </xdr:sp>
    <xdr:clientData/>
  </xdr:twoCellAnchor>
  <xdr:twoCellAnchor editAs="oneCell">
    <xdr:from>
      <xdr:col>0</xdr:col>
      <xdr:colOff>171450</xdr:colOff>
      <xdr:row>7</xdr:row>
      <xdr:rowOff>25506</xdr:rowOff>
    </xdr:from>
    <xdr:to>
      <xdr:col>4</xdr:col>
      <xdr:colOff>142875</xdr:colOff>
      <xdr:row>12</xdr:row>
      <xdr:rowOff>104775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682856"/>
          <a:ext cx="3019425" cy="1031769"/>
        </a:xfrm>
        <a:prstGeom prst="rect">
          <a:avLst/>
        </a:prstGeom>
      </xdr:spPr>
    </xdr:pic>
    <xdr:clientData/>
  </xdr:twoCellAnchor>
  <xdr:twoCellAnchor>
    <xdr:from>
      <xdr:col>6</xdr:col>
      <xdr:colOff>647700</xdr:colOff>
      <xdr:row>10</xdr:row>
      <xdr:rowOff>38100</xdr:rowOff>
    </xdr:from>
    <xdr:to>
      <xdr:col>9</xdr:col>
      <xdr:colOff>114300</xdr:colOff>
      <xdr:row>12</xdr:row>
      <xdr:rowOff>28575</xdr:rowOff>
    </xdr:to>
    <xdr:sp macro="" textlink="">
      <xdr:nvSpPr>
        <xdr:cNvPr id="13" name="Rectángulo: esquinas redondeada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857750" y="2266950"/>
          <a:ext cx="1752600" cy="3714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/>
            <a:t>Entrada Gastos Fijos</a:t>
          </a:r>
        </a:p>
      </xdr:txBody>
    </xdr:sp>
    <xdr:clientData/>
  </xdr:twoCellAnchor>
  <xdr:twoCellAnchor>
    <xdr:from>
      <xdr:col>9</xdr:col>
      <xdr:colOff>295275</xdr:colOff>
      <xdr:row>10</xdr:row>
      <xdr:rowOff>76200</xdr:rowOff>
    </xdr:from>
    <xdr:to>
      <xdr:col>11</xdr:col>
      <xdr:colOff>457200</xdr:colOff>
      <xdr:row>12</xdr:row>
      <xdr:rowOff>104775</xdr:rowOff>
    </xdr:to>
    <xdr:sp macro="" textlink="">
      <xdr:nvSpPr>
        <xdr:cNvPr id="14" name="Rectángulo: esquinas redondeada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791325" y="2305050"/>
          <a:ext cx="1685925" cy="40957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PE" sz="1400"/>
            <a:t>Tablas</a:t>
          </a:r>
        </a:p>
      </xdr:txBody>
    </xdr:sp>
    <xdr:clientData/>
  </xdr:twoCellAnchor>
  <xdr:twoCellAnchor>
    <xdr:from>
      <xdr:col>9</xdr:col>
      <xdr:colOff>238125</xdr:colOff>
      <xdr:row>15</xdr:row>
      <xdr:rowOff>0</xdr:rowOff>
    </xdr:from>
    <xdr:to>
      <xdr:col>11</xdr:col>
      <xdr:colOff>495300</xdr:colOff>
      <xdr:row>16</xdr:row>
      <xdr:rowOff>180975</xdr:rowOff>
    </xdr:to>
    <xdr:sp macro="" textlink="">
      <xdr:nvSpPr>
        <xdr:cNvPr id="2" name="Rectángulo: esquinas redondeadas 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34175" y="3181350"/>
          <a:ext cx="1781175" cy="371475"/>
        </a:xfrm>
        <a:prstGeom prst="roundRect">
          <a:avLst/>
        </a:pr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s-PE" sz="1400">
              <a:solidFill>
                <a:schemeClr val="lt1"/>
              </a:solidFill>
              <a:latin typeface="+mn-lt"/>
              <a:ea typeface="+mn-ea"/>
              <a:cs typeface="+mn-cs"/>
            </a:rPr>
            <a:t>Inventario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0</xdr:row>
      <xdr:rowOff>76200</xdr:rowOff>
    </xdr:from>
    <xdr:to>
      <xdr:col>6</xdr:col>
      <xdr:colOff>47625</xdr:colOff>
      <xdr:row>2</xdr:row>
      <xdr:rowOff>104775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76325" y="76200"/>
          <a:ext cx="4838700" cy="4095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 i="1"/>
            <a:t>LISTA DE PRECIOSVV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</xdr:row>
      <xdr:rowOff>142876</xdr:rowOff>
    </xdr:from>
    <xdr:to>
      <xdr:col>8</xdr:col>
      <xdr:colOff>0</xdr:colOff>
      <xdr:row>3</xdr:row>
      <xdr:rowOff>66676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1049" y="333376"/>
          <a:ext cx="4124325" cy="3048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solidFill>
                <a:schemeClr val="bg1"/>
              </a:solidFill>
            </a:rPr>
            <a:t>Entrada de producto</a:t>
          </a:r>
        </a:p>
      </xdr:txBody>
    </xdr:sp>
    <xdr:clientData/>
  </xdr:twoCellAnchor>
  <xdr:twoCellAnchor>
    <xdr:from>
      <xdr:col>3</xdr:col>
      <xdr:colOff>704850</xdr:colOff>
      <xdr:row>6</xdr:row>
      <xdr:rowOff>209550</xdr:rowOff>
    </xdr:from>
    <xdr:to>
      <xdr:col>7</xdr:col>
      <xdr:colOff>742950</xdr:colOff>
      <xdr:row>8</xdr:row>
      <xdr:rowOff>76200</xdr:rowOff>
    </xdr:to>
    <xdr:sp macro="[0]!GuardarEntrad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229225" y="1400175"/>
          <a:ext cx="3400425" cy="3429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400"/>
            <a:t>Guardar</a:t>
          </a:r>
        </a:p>
      </xdr:txBody>
    </xdr:sp>
    <xdr:clientData/>
  </xdr:twoCellAnchor>
  <xdr:twoCellAnchor>
    <xdr:from>
      <xdr:col>0</xdr:col>
      <xdr:colOff>381000</xdr:colOff>
      <xdr:row>0</xdr:row>
      <xdr:rowOff>142875</xdr:rowOff>
    </xdr:from>
    <xdr:to>
      <xdr:col>8</xdr:col>
      <xdr:colOff>361950</xdr:colOff>
      <xdr:row>13</xdr:row>
      <xdr:rowOff>9525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81000" y="142875"/>
          <a:ext cx="8515350" cy="262890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409576</xdr:colOff>
      <xdr:row>13</xdr:row>
      <xdr:rowOff>133350</xdr:rowOff>
    </xdr:from>
    <xdr:to>
      <xdr:col>8</xdr:col>
      <xdr:colOff>333376</xdr:colOff>
      <xdr:row>87</xdr:row>
      <xdr:rowOff>114300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576" y="2895600"/>
          <a:ext cx="8458200" cy="13173075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8</xdr:col>
      <xdr:colOff>485775</xdr:colOff>
      <xdr:row>2</xdr:row>
      <xdr:rowOff>171450</xdr:rowOff>
    </xdr:from>
    <xdr:to>
      <xdr:col>12</xdr:col>
      <xdr:colOff>733425</xdr:colOff>
      <xdr:row>9</xdr:row>
      <xdr:rowOff>171260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0175" y="552450"/>
          <a:ext cx="3295650" cy="15238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3</xdr:row>
      <xdr:rowOff>142876</xdr:rowOff>
    </xdr:from>
    <xdr:to>
      <xdr:col>9</xdr:col>
      <xdr:colOff>0</xdr:colOff>
      <xdr:row>5</xdr:row>
      <xdr:rowOff>66676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49" y="333376"/>
          <a:ext cx="7867651" cy="3048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solidFill>
                <a:schemeClr val="bg1"/>
              </a:solidFill>
            </a:rPr>
            <a:t>Gastos Fijos</a:t>
          </a:r>
        </a:p>
      </xdr:txBody>
    </xdr:sp>
    <xdr:clientData/>
  </xdr:twoCellAnchor>
  <xdr:twoCellAnchor>
    <xdr:from>
      <xdr:col>4</xdr:col>
      <xdr:colOff>723900</xdr:colOff>
      <xdr:row>7</xdr:row>
      <xdr:rowOff>95250</xdr:rowOff>
    </xdr:from>
    <xdr:to>
      <xdr:col>9</xdr:col>
      <xdr:colOff>0</xdr:colOff>
      <xdr:row>8</xdr:row>
      <xdr:rowOff>200025</xdr:rowOff>
    </xdr:to>
    <xdr:sp macro="[0]!EntradaGastosFij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248275" y="1047750"/>
          <a:ext cx="3400425" cy="3429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400"/>
            <a:t>Guardar</a:t>
          </a:r>
        </a:p>
      </xdr:txBody>
    </xdr:sp>
    <xdr:clientData/>
  </xdr:twoCellAnchor>
  <xdr:twoCellAnchor>
    <xdr:from>
      <xdr:col>1</xdr:col>
      <xdr:colOff>400050</xdr:colOff>
      <xdr:row>2</xdr:row>
      <xdr:rowOff>142875</xdr:rowOff>
    </xdr:from>
    <xdr:to>
      <xdr:col>9</xdr:col>
      <xdr:colOff>400050</xdr:colOff>
      <xdr:row>16</xdr:row>
      <xdr:rowOff>9525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71525" y="523875"/>
          <a:ext cx="8667750" cy="2676525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400050</xdr:colOff>
      <xdr:row>17</xdr:row>
      <xdr:rowOff>9525</xdr:rowOff>
    </xdr:from>
    <xdr:to>
      <xdr:col>9</xdr:col>
      <xdr:colOff>390525</xdr:colOff>
      <xdr:row>32</xdr:row>
      <xdr:rowOff>161925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1525" y="3390900"/>
          <a:ext cx="8658225" cy="2676525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</xdr:row>
      <xdr:rowOff>142876</xdr:rowOff>
    </xdr:from>
    <xdr:to>
      <xdr:col>7</xdr:col>
      <xdr:colOff>0</xdr:colOff>
      <xdr:row>3</xdr:row>
      <xdr:rowOff>66676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1049" y="333376"/>
          <a:ext cx="5153025" cy="3048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solidFill>
                <a:schemeClr val="bg1"/>
              </a:solidFill>
            </a:rPr>
            <a:t>Salida de producto</a:t>
          </a:r>
        </a:p>
      </xdr:txBody>
    </xdr:sp>
    <xdr:clientData/>
  </xdr:twoCellAnchor>
  <xdr:twoCellAnchor>
    <xdr:from>
      <xdr:col>3</xdr:col>
      <xdr:colOff>723900</xdr:colOff>
      <xdr:row>5</xdr:row>
      <xdr:rowOff>95250</xdr:rowOff>
    </xdr:from>
    <xdr:to>
      <xdr:col>7</xdr:col>
      <xdr:colOff>0</xdr:colOff>
      <xdr:row>6</xdr:row>
      <xdr:rowOff>200025</xdr:rowOff>
    </xdr:to>
    <xdr:sp macro="[0]!GuardarSalid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552950" y="1047750"/>
          <a:ext cx="1381125" cy="3429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400"/>
            <a:t>Guardar</a:t>
          </a:r>
        </a:p>
      </xdr:txBody>
    </xdr:sp>
    <xdr:clientData/>
  </xdr:twoCellAnchor>
  <xdr:twoCellAnchor>
    <xdr:from>
      <xdr:col>0</xdr:col>
      <xdr:colOff>400049</xdr:colOff>
      <xdr:row>0</xdr:row>
      <xdr:rowOff>142875</xdr:rowOff>
    </xdr:from>
    <xdr:to>
      <xdr:col>8</xdr:col>
      <xdr:colOff>485775</xdr:colOff>
      <xdr:row>13</xdr:row>
      <xdr:rowOff>9525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00049" y="142875"/>
          <a:ext cx="8362951" cy="262890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400049</xdr:colOff>
      <xdr:row>13</xdr:row>
      <xdr:rowOff>133350</xdr:rowOff>
    </xdr:from>
    <xdr:to>
      <xdr:col>8</xdr:col>
      <xdr:colOff>495299</xdr:colOff>
      <xdr:row>79</xdr:row>
      <xdr:rowOff>114300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400049" y="2895600"/>
          <a:ext cx="8372475" cy="6315075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18677</xdr:colOff>
      <xdr:row>18</xdr:row>
      <xdr:rowOff>0</xdr:rowOff>
    </xdr:from>
    <xdr:to>
      <xdr:col>7</xdr:col>
      <xdr:colOff>1043836</xdr:colOff>
      <xdr:row>36</xdr:row>
      <xdr:rowOff>117431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466163</xdr:colOff>
      <xdr:row>18</xdr:row>
      <xdr:rowOff>0</xdr:rowOff>
    </xdr:from>
    <xdr:to>
      <xdr:col>16</xdr:col>
      <xdr:colOff>436281</xdr:colOff>
      <xdr:row>36</xdr:row>
      <xdr:rowOff>169623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378391</xdr:colOff>
      <xdr:row>2</xdr:row>
      <xdr:rowOff>60388</xdr:rowOff>
    </xdr:from>
    <xdr:to>
      <xdr:col>1</xdr:col>
      <xdr:colOff>495822</xdr:colOff>
      <xdr:row>6</xdr:row>
      <xdr:rowOff>210419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CA45888-E21A-4F46-ABF0-6102C8D89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r="21523"/>
        <a:stretch/>
      </xdr:blipFill>
      <xdr:spPr>
        <a:xfrm>
          <a:off x="378391" y="686689"/>
          <a:ext cx="874212" cy="1141675"/>
        </a:xfrm>
        <a:prstGeom prst="rect">
          <a:avLst/>
        </a:prstGeom>
      </xdr:spPr>
    </xdr:pic>
    <xdr:clientData/>
  </xdr:twoCellAnchor>
  <xdr:twoCellAnchor editAs="oneCell">
    <xdr:from>
      <xdr:col>15</xdr:col>
      <xdr:colOff>178496</xdr:colOff>
      <xdr:row>2</xdr:row>
      <xdr:rowOff>69261</xdr:rowOff>
    </xdr:from>
    <xdr:to>
      <xdr:col>16</xdr:col>
      <xdr:colOff>295928</xdr:colOff>
      <xdr:row>6</xdr:row>
      <xdr:rowOff>219292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F432E79-63EA-4DAE-8152-592C339FB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r="21523"/>
        <a:stretch/>
      </xdr:blipFill>
      <xdr:spPr>
        <a:xfrm>
          <a:off x="16227469" y="669466"/>
          <a:ext cx="874212" cy="1141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11</xdr:col>
      <xdr:colOff>0</xdr:colOff>
      <xdr:row>5</xdr:row>
      <xdr:rowOff>114300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24000" y="762000"/>
          <a:ext cx="5334000" cy="3048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2800">
              <a:solidFill>
                <a:schemeClr val="bg1"/>
              </a:solidFill>
            </a:rPr>
            <a:t>Inventario</a:t>
          </a:r>
        </a:p>
      </xdr:txBody>
    </xdr:sp>
    <xdr:clientData/>
  </xdr:twoCellAnchor>
  <xdr:twoCellAnchor>
    <xdr:from>
      <xdr:col>1</xdr:col>
      <xdr:colOff>19050</xdr:colOff>
      <xdr:row>2</xdr:row>
      <xdr:rowOff>152400</xdr:rowOff>
    </xdr:from>
    <xdr:to>
      <xdr:col>13</xdr:col>
      <xdr:colOff>104775</xdr:colOff>
      <xdr:row>44</xdr:row>
      <xdr:rowOff>104775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81050" y="533400"/>
          <a:ext cx="13125450" cy="800100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4950.006309490738" createdVersion="8" refreshedVersion="8" minRefreshableVersion="3" recordCount="7" xr:uid="{EA5450AB-3F02-4C88-B9C2-24395625318A}">
  <cacheSource type="worksheet">
    <worksheetSource name="GastosFijos"/>
  </cacheSource>
  <cacheFields count="5">
    <cacheField name="Gasto Fijo" numFmtId="0">
      <sharedItems/>
    </cacheField>
    <cacheField name="Costo (S/)" numFmtId="0">
      <sharedItems containsSemiMixedTypes="0" containsString="0" containsNumber="1" containsInteger="1" minValue="80" maxValue="600"/>
    </cacheField>
    <cacheField name="Fecha" numFmtId="14">
      <sharedItems containsSemiMixedTypes="0" containsNonDate="0" containsDate="1" containsString="0" minDate="2022-02-12T00:00:00" maxDate="2022-09-13T00:00:00" count="4">
        <d v="2022-09-12T00:00:00"/>
        <d v="2022-03-12T00:00:00"/>
        <d v="2022-02-12T00:00:00"/>
        <d v="2022-08-08T00:00:00"/>
      </sharedItems>
      <fieldGroup par="4" base="2">
        <rangePr groupBy="days" startDate="2022-02-12T00:00:00" endDate="2022-09-13T00:00:00"/>
        <groupItems count="368">
          <s v="&lt;12/02/2022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3/09/2022"/>
        </groupItems>
      </fieldGroup>
    </cacheField>
    <cacheField name="Monto" numFmtId="0">
      <sharedItems containsSemiMixedTypes="0" containsString="0" containsNumber="1" containsInteger="1" minValue="80" maxValue="600"/>
    </cacheField>
    <cacheField name="Meses" numFmtId="0" databaseField="0">
      <fieldGroup base="2">
        <rangePr groupBy="months" startDate="2022-02-12T00:00:00" endDate="2022-09-13T00:00:00"/>
        <groupItems count="14">
          <s v="&lt;12/02/2022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3/09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4950.0063099537" createdVersion="8" refreshedVersion="8" minRefreshableVersion="3" recordCount="53" xr:uid="{2C6A111E-10CF-47AE-914F-31F07B5B0A09}">
  <cacheSource type="worksheet">
    <worksheetSource name="Entrada"/>
  </cacheSource>
  <cacheFields count="8">
    <cacheField name="Código" numFmtId="0">
      <sharedItems containsBlank="1"/>
    </cacheField>
    <cacheField name="Modelo" numFmtId="0">
      <sharedItems/>
    </cacheField>
    <cacheField name="Precio (S)" numFmtId="0">
      <sharedItems containsString="0" containsBlank="1" containsNumber="1" minValue="2" maxValue="20"/>
    </cacheField>
    <cacheField name="Marca" numFmtId="0">
      <sharedItems/>
    </cacheField>
    <cacheField name="Cantidad" numFmtId="0">
      <sharedItems containsString="0" containsBlank="1" containsNumber="1" containsInteger="1" minValue="4" maxValue="37"/>
    </cacheField>
    <cacheField name="FECHA" numFmtId="0">
      <sharedItems containsNonDate="0" containsDate="1" containsString="0" containsBlank="1" minDate="2022-01-12T00:00:00" maxDate="2022-12-16T00:00:00" count="19">
        <d v="2022-12-15T00:00:00"/>
        <d v="2022-06-15T00:00:00"/>
        <d v="2022-10-15T00:00:00"/>
        <d v="2022-09-15T00:00:00"/>
        <d v="2022-08-15T00:00:00"/>
        <d v="2022-07-12T00:00:00"/>
        <d v="2022-06-12T00:00:00"/>
        <d v="2022-01-12T00:00:00"/>
        <d v="2022-02-12T00:00:00"/>
        <d v="2022-03-12T00:00:00"/>
        <d v="2022-05-12T00:00:00"/>
        <d v="2022-04-12T00:00:00"/>
        <d v="2022-09-12T00:00:00"/>
        <d v="2022-11-12T00:00:00"/>
        <d v="2022-10-12T00:00:00"/>
        <d v="2022-08-13T00:00:00"/>
        <d v="2022-12-14T00:00:00"/>
        <d v="2022-11-15T00:00:00"/>
        <m/>
      </sharedItems>
      <fieldGroup par="7" base="5">
        <rangePr groupBy="days" startDate="2022-01-12T00:00:00" endDate="2022-12-16T00:00:00"/>
        <groupItems count="368">
          <s v="(en blanco)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/12/2022"/>
        </groupItems>
      </fieldGroup>
    </cacheField>
    <cacheField name="Monto" numFmtId="0">
      <sharedItems containsSemiMixedTypes="0" containsString="0" containsNumber="1" minValue="0" maxValue="592"/>
    </cacheField>
    <cacheField name="Meses" numFmtId="0" databaseField="0">
      <fieldGroup base="5">
        <rangePr groupBy="months" startDate="2022-01-12T00:00:00" endDate="2022-12-16T00:00:00"/>
        <groupItems count="14">
          <s v="&lt;12/01/2022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6/12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4950.006310300923" createdVersion="8" refreshedVersion="8" minRefreshableVersion="3" recordCount="45" xr:uid="{26BD8EF7-28E2-4B96-9696-4198E1658F4A}">
  <cacheSource type="worksheet">
    <worksheetSource name="Salida"/>
  </cacheSource>
  <cacheFields count="8">
    <cacheField name="Código" numFmtId="0">
      <sharedItems containsBlank="1"/>
    </cacheField>
    <cacheField name="Modelo" numFmtId="0">
      <sharedItems/>
    </cacheField>
    <cacheField name="Precio (S)" numFmtId="0">
      <sharedItems containsMixedTypes="1" containsNumber="1" containsInteger="1" minValue="19" maxValue="40"/>
    </cacheField>
    <cacheField name="Marca" numFmtId="0">
      <sharedItems/>
    </cacheField>
    <cacheField name="Cantidad" numFmtId="0">
      <sharedItems containsString="0" containsBlank="1" containsNumber="1" containsInteger="1" minValue="1" maxValue="11"/>
    </cacheField>
    <cacheField name="FECHA" numFmtId="0">
      <sharedItems containsNonDate="0" containsDate="1" containsString="0" containsBlank="1" minDate="2022-01-13T00:00:00" maxDate="2022-12-14T00:00:00" count="16">
        <d v="2022-12-13T00:00:00"/>
        <d v="2022-11-13T00:00:00"/>
        <d v="2022-07-13T00:00:00"/>
        <d v="2022-02-13T00:00:00"/>
        <d v="2022-10-13T00:00:00"/>
        <d v="2022-01-13T00:00:00"/>
        <d v="2022-09-13T00:00:00"/>
        <d v="2022-08-13T00:00:00"/>
        <d v="2022-06-13T00:00:00"/>
        <d v="2022-05-13T00:00:00"/>
        <d v="2022-04-13T00:00:00"/>
        <d v="2022-03-13T00:00:00"/>
        <d v="2022-02-15T00:00:00"/>
        <d v="2022-02-16T00:00:00"/>
        <d v="2022-02-17T00:00:00"/>
        <m/>
      </sharedItems>
      <fieldGroup par="7" base="5">
        <rangePr groupBy="days" startDate="2022-01-13T00:00:00" endDate="2022-12-14T00:00:00"/>
        <groupItems count="368">
          <s v="(en blanco)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4/12/2022"/>
        </groupItems>
      </fieldGroup>
    </cacheField>
    <cacheField name="Monto" numFmtId="0">
      <sharedItems containsMixedTypes="1" containsNumber="1" containsInteger="1" minValue="20" maxValue="440"/>
    </cacheField>
    <cacheField name="Meses" numFmtId="0" databaseField="0">
      <fieldGroup base="5">
        <rangePr groupBy="months" startDate="2022-01-13T00:00:00" endDate="2022-12-14T00:00:00"/>
        <groupItems count="14">
          <s v="&lt;13/01/2022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4/12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Pinturas"/>
    <n v="80"/>
    <x v="0"/>
    <n v="80"/>
  </r>
  <r>
    <s v="Pinturas"/>
    <n v="80"/>
    <x v="0"/>
    <n v="80"/>
  </r>
  <r>
    <s v="Agua"/>
    <n v="80"/>
    <x v="1"/>
    <n v="80"/>
  </r>
  <r>
    <s v="Luz"/>
    <n v="80"/>
    <x v="1"/>
    <n v="80"/>
  </r>
  <r>
    <s v="Sueldo"/>
    <n v="300"/>
    <x v="2"/>
    <n v="300"/>
  </r>
  <r>
    <s v="Alquiler"/>
    <n v="345"/>
    <x v="2"/>
    <n v="345"/>
  </r>
  <r>
    <s v="Sueldo"/>
    <n v="600"/>
    <x v="3"/>
    <n v="6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s v="MBOXV"/>
    <s v="Vendas 3m"/>
    <n v="6"/>
    <s v="Probst Marg"/>
    <n v="15"/>
    <x v="0"/>
    <n v="90"/>
  </r>
  <r>
    <s v="D300H"/>
    <s v="Tanks Básicas algodón"/>
    <n v="9"/>
    <s v="Probst Dan"/>
    <n v="12"/>
    <x v="1"/>
    <n v="108"/>
  </r>
  <r>
    <s v="JACC2"/>
    <s v="Bucket Hat"/>
    <n v="8"/>
    <s v="Probst Jfer"/>
    <n v="12"/>
    <x v="2"/>
    <n v="96"/>
  </r>
  <r>
    <s v="J500H"/>
    <s v="Bividí normal"/>
    <n v="9.5"/>
    <s v="Probst Jfer"/>
    <n v="12"/>
    <x v="3"/>
    <n v="114"/>
  </r>
  <r>
    <s v="D400M"/>
    <s v="Top estampados algodón mujer"/>
    <n v="9"/>
    <s v="Probst Dan"/>
    <n v="12"/>
    <x v="4"/>
    <n v="108"/>
  </r>
  <r>
    <s v="DSOCKS"/>
    <s v="Medias algodón"/>
    <n v="2"/>
    <s v="Probst Medias"/>
    <n v="12"/>
    <x v="5"/>
    <n v="24"/>
  </r>
  <r>
    <s v="MBOX"/>
    <s v="Guantes Boxeo Unisex"/>
    <n v="20"/>
    <s v="Probst Marg"/>
    <n v="13"/>
    <x v="6"/>
    <n v="260"/>
  </r>
  <r>
    <s v="MBOX"/>
    <s v="Guantes Boxeo Unisex"/>
    <n v="20"/>
    <s v="Probst Marg"/>
    <n v="9"/>
    <x v="7"/>
    <n v="180"/>
  </r>
  <r>
    <s v="J100M"/>
    <s v="Buzo cremallera Mujer"/>
    <n v="12.5"/>
    <s v="Probst Jfer"/>
    <n v="9"/>
    <x v="8"/>
    <n v="112.5"/>
  </r>
  <r>
    <s v="J100H"/>
    <s v="Buzo cremallera Hombre"/>
    <n v="12.5"/>
    <s v="Probst Jfer"/>
    <n v="9"/>
    <x v="8"/>
    <n v="112.5"/>
  </r>
  <r>
    <s v="V900M"/>
    <s v="Top Amelia"/>
    <n v="9"/>
    <s v="Probst Vane"/>
    <n v="9"/>
    <x v="9"/>
    <n v="81"/>
  </r>
  <r>
    <s v="V800M"/>
    <s v="Top Emma"/>
    <n v="9"/>
    <s v="Probst Vane"/>
    <n v="9"/>
    <x v="10"/>
    <n v="81"/>
  </r>
  <r>
    <s v="V700M"/>
    <s v="Top Olivia"/>
    <n v="9"/>
    <s v="Probst Vane"/>
    <n v="8"/>
    <x v="10"/>
    <n v="72"/>
  </r>
  <r>
    <s v="V700M"/>
    <s v="Top Olivia"/>
    <n v="9"/>
    <s v="Probst Vane"/>
    <n v="4"/>
    <x v="10"/>
    <n v="36"/>
  </r>
  <r>
    <s v="V600M"/>
    <s v="Top Isabella"/>
    <n v="9"/>
    <s v="Probst Vane"/>
    <n v="8"/>
    <x v="10"/>
    <n v="72"/>
  </r>
  <r>
    <s v="V500M"/>
    <s v="Top Charlotte"/>
    <n v="9"/>
    <s v="Probst Vane"/>
    <n v="5"/>
    <x v="10"/>
    <n v="45"/>
  </r>
  <r>
    <s v="J400H"/>
    <s v="Bividí cuello alto"/>
    <n v="9.5"/>
    <s v="Probst Jfer"/>
    <n v="5"/>
    <x v="10"/>
    <n v="47.5"/>
  </r>
  <r>
    <s v="J400H"/>
    <s v="Bividí cuello alto"/>
    <n v="9.5"/>
    <s v="Probst Jfer"/>
    <n v="5"/>
    <x v="11"/>
    <n v="47.5"/>
  </r>
  <r>
    <s v="J400H"/>
    <s v="Bividí cuello alto"/>
    <n v="9.5"/>
    <s v="Probst Jfer"/>
    <n v="5"/>
    <x v="11"/>
    <n v="47.5"/>
  </r>
  <r>
    <s v="V500M"/>
    <s v="Top Charlotte"/>
    <n v="9"/>
    <s v="Probst Vane"/>
    <n v="5"/>
    <x v="11"/>
    <n v="45"/>
  </r>
  <r>
    <s v="V100M"/>
    <s v="Leggings no brillantes"/>
    <n v="15.5"/>
    <s v="Probst Vane"/>
    <n v="5"/>
    <x v="11"/>
    <n v="77.5"/>
  </r>
  <r>
    <s v="V700M"/>
    <s v="Top Olivia"/>
    <n v="9"/>
    <s v="Probst Vane"/>
    <n v="5"/>
    <x v="11"/>
    <n v="45"/>
  </r>
  <r>
    <s v="V300M"/>
    <s v="Shorts "/>
    <n v="11.5"/>
    <s v="Probst Vane"/>
    <n v="4"/>
    <x v="11"/>
    <n v="46"/>
  </r>
  <r>
    <s v="V200M"/>
    <s v="Leggings brillantes"/>
    <n v="16"/>
    <s v="Probst Vane"/>
    <n v="4"/>
    <x v="9"/>
    <n v="64"/>
  </r>
  <r>
    <s v="V100M"/>
    <s v="Leggings no brillantes"/>
    <n v="15.5"/>
    <s v="Probst Vane"/>
    <n v="4"/>
    <x v="9"/>
    <n v="62"/>
  </r>
  <r>
    <s v="MBOX"/>
    <s v="Guantes Boxeo Unisex"/>
    <n v="20"/>
    <s v="Probst Marg"/>
    <n v="10"/>
    <x v="12"/>
    <n v="200"/>
  </r>
  <r>
    <s v="D100U"/>
    <s v="Camisetas Estampadas algodón "/>
    <n v="9"/>
    <s v="Probst Dan"/>
    <n v="9"/>
    <x v="13"/>
    <n v="81"/>
  </r>
  <r>
    <s v="V400M"/>
    <s v="Faldas Short"/>
    <n v="16"/>
    <s v="Probst Vane"/>
    <n v="13"/>
    <x v="14"/>
    <n v="208"/>
  </r>
  <r>
    <s v="V300M"/>
    <s v="Shorts "/>
    <n v="16"/>
    <s v="Probst Vane"/>
    <n v="12"/>
    <x v="15"/>
    <n v="192"/>
  </r>
  <r>
    <s v="V200M"/>
    <s v="Leggings brillantes"/>
    <n v="16"/>
    <s v="Probst Vane"/>
    <n v="10"/>
    <x v="16"/>
    <n v="160"/>
  </r>
  <r>
    <s v="V100M"/>
    <s v="Leggings no brillantes"/>
    <n v="16"/>
    <s v="Probst Vane"/>
    <n v="37"/>
    <x v="17"/>
    <n v="592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  <r>
    <m/>
    <s v=""/>
    <m/>
    <s v=""/>
    <m/>
    <x v="18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s v="J800H"/>
    <s v="Pantalonetas Sublimadas"/>
    <n v="30"/>
    <s v="Probst Jfer"/>
    <n v="10"/>
    <x v="0"/>
    <n v="300"/>
  </r>
  <r>
    <s v="J700H"/>
    <s v="Sweater Algodón"/>
    <n v="27"/>
    <s v="Probst Jfer"/>
    <n v="11"/>
    <x v="0"/>
    <n v="297"/>
  </r>
  <r>
    <s v="D200U"/>
    <s v="Camisetas Básicas algodón"/>
    <n v="24"/>
    <s v="Probst Dan"/>
    <n v="11"/>
    <x v="1"/>
    <n v="264"/>
  </r>
  <r>
    <s v="JACC1"/>
    <s v="Bolsas de entrenamiento"/>
    <n v="40"/>
    <s v="Probst Jfer"/>
    <n v="11"/>
    <x v="2"/>
    <n v="440"/>
  </r>
  <r>
    <s v="J900H"/>
    <s v="Camisetas Poliester"/>
    <n v="22"/>
    <s v="Probst Jfer"/>
    <n v="11"/>
    <x v="3"/>
    <n v="242"/>
  </r>
  <r>
    <s v="J900H"/>
    <s v="Camisetas Poliester"/>
    <n v="22"/>
    <s v="Probst Jfer"/>
    <n v="11"/>
    <x v="3"/>
    <n v="242"/>
  </r>
  <r>
    <s v="J800H"/>
    <s v="Pantalonetas Sublimadas"/>
    <n v="30"/>
    <s v="Probst Jfer"/>
    <n v="11"/>
    <x v="4"/>
    <n v="330"/>
  </r>
  <r>
    <s v="J800H"/>
    <s v="Pantalonetas Sublimadas"/>
    <n v="30"/>
    <s v="Probst Jfer"/>
    <n v="8"/>
    <x v="5"/>
    <n v="240"/>
  </r>
  <r>
    <s v="J600H"/>
    <s v="Bividí Capucha"/>
    <n v="22"/>
    <s v="Probst Jfer"/>
    <n v="8"/>
    <x v="5"/>
    <n v="176"/>
  </r>
  <r>
    <s v="J600H"/>
    <s v="Bividí Capucha"/>
    <n v="22"/>
    <s v="Probst Jfer"/>
    <n v="8"/>
    <x v="4"/>
    <n v="176"/>
  </r>
  <r>
    <s v="J600H"/>
    <s v="Bividí Capucha"/>
    <n v="22"/>
    <s v="Probst Jfer"/>
    <n v="8"/>
    <x v="6"/>
    <n v="176"/>
  </r>
  <r>
    <s v="J500H"/>
    <s v="Bividí normal"/>
    <n v="20"/>
    <s v="Probst Jfer"/>
    <n v="8"/>
    <x v="7"/>
    <n v="160"/>
  </r>
  <r>
    <s v="D200U"/>
    <s v="Camisetas Básicas algodón"/>
    <n v="24"/>
    <s v="Probst Dan"/>
    <n v="8"/>
    <x v="7"/>
    <n v="192"/>
  </r>
  <r>
    <s v="MBOX"/>
    <s v="Guantes Boxeo Unisex"/>
    <n v="35"/>
    <s v="Probst Marg"/>
    <n v="8"/>
    <x v="8"/>
    <n v="280"/>
  </r>
  <r>
    <s v="J100M"/>
    <s v="Buzo cremallera Mujer"/>
    <n v="27"/>
    <s v="Probst Jfer"/>
    <n v="8"/>
    <x v="8"/>
    <n v="216"/>
  </r>
  <r>
    <s v="V300M"/>
    <s v="Shorts "/>
    <n v="25"/>
    <s v="Probst Vane"/>
    <n v="8"/>
    <x v="9"/>
    <n v="200"/>
  </r>
  <r>
    <s v="V100M"/>
    <s v="Leggings no brillantes"/>
    <n v="35"/>
    <s v="Probst Vane"/>
    <n v="8"/>
    <x v="9"/>
    <n v="280"/>
  </r>
  <r>
    <s v="J100H"/>
    <s v="Buzo cremallera Hombre"/>
    <n v="27"/>
    <s v="Probst Jfer"/>
    <n v="3"/>
    <x v="9"/>
    <n v="81"/>
  </r>
  <r>
    <s v="J100M"/>
    <s v="Buzo cremallera Mujer"/>
    <n v="27"/>
    <s v="Probst Jfer"/>
    <n v="3"/>
    <x v="10"/>
    <n v="81"/>
  </r>
  <r>
    <s v="V400M"/>
    <s v="Faldas Short"/>
    <n v="25"/>
    <s v="Probst Vane"/>
    <n v="3"/>
    <x v="8"/>
    <n v="75"/>
  </r>
  <r>
    <s v="V300M"/>
    <s v="Shorts "/>
    <n v="25"/>
    <s v="Probst Vane"/>
    <n v="3"/>
    <x v="10"/>
    <n v="75"/>
  </r>
  <r>
    <s v="V900M"/>
    <s v="Top Amelia"/>
    <n v="19"/>
    <s v="Probst Vane"/>
    <n v="3"/>
    <x v="11"/>
    <n v="57"/>
  </r>
  <r>
    <s v="V900M"/>
    <s v="Top Amelia"/>
    <n v="19"/>
    <s v="Probst Vane"/>
    <n v="3"/>
    <x v="11"/>
    <n v="57"/>
  </r>
  <r>
    <s v="V800M"/>
    <s v="Top Emma"/>
    <n v="19"/>
    <s v="Probst Vane"/>
    <n v="3"/>
    <x v="11"/>
    <n v="57"/>
  </r>
  <r>
    <s v="V800M"/>
    <s v="Top Emma"/>
    <n v="19"/>
    <s v="Probst Vane"/>
    <n v="3"/>
    <x v="11"/>
    <n v="57"/>
  </r>
  <r>
    <s v="V600M"/>
    <s v="Top Isabella"/>
    <n v="19"/>
    <s v="Probst Vane"/>
    <n v="3"/>
    <x v="11"/>
    <n v="57"/>
  </r>
  <r>
    <s v="V500M"/>
    <s v="Top Charlotte"/>
    <n v="19"/>
    <s v="Probst Vane"/>
    <n v="3"/>
    <x v="11"/>
    <n v="57"/>
  </r>
  <r>
    <s v="V500M"/>
    <s v="Top Charlotte"/>
    <n v="19"/>
    <s v="Probst Vane"/>
    <n v="3"/>
    <x v="11"/>
    <n v="57"/>
  </r>
  <r>
    <s v="V700M"/>
    <s v="Top Olivia"/>
    <n v="19"/>
    <s v="Probst Vane"/>
    <n v="7"/>
    <x v="11"/>
    <n v="133"/>
  </r>
  <r>
    <s v="V200M"/>
    <s v="Leggings brillantes"/>
    <n v="35"/>
    <s v="Probst Vane"/>
    <n v="7"/>
    <x v="11"/>
    <n v="245"/>
  </r>
  <r>
    <s v="V100M"/>
    <s v="Leggings no brillantes"/>
    <n v="35"/>
    <s v="Probst Vane"/>
    <n v="7"/>
    <x v="11"/>
    <n v="245"/>
  </r>
  <r>
    <s v="V100M"/>
    <s v="Leggings no brillantes"/>
    <n v="35"/>
    <s v="Probst Vane"/>
    <n v="7"/>
    <x v="11"/>
    <n v="245"/>
  </r>
  <r>
    <s v="D100U"/>
    <s v="Camisetas Estampadas algodón "/>
    <n v="24"/>
    <s v="Probst Dan"/>
    <n v="1"/>
    <x v="11"/>
    <n v="24"/>
  </r>
  <r>
    <s v="J400H"/>
    <s v="Bividí cuello alto"/>
    <n v="20"/>
    <s v="PROBST"/>
    <n v="2"/>
    <x v="12"/>
    <n v="40"/>
  </r>
  <r>
    <s v="V500M"/>
    <s v="Top Charlotte"/>
    <n v="20"/>
    <s v="PROBST"/>
    <n v="1"/>
    <x v="13"/>
    <n v="20"/>
  </r>
  <r>
    <s v="V100M"/>
    <s v="Leggings no brillantes"/>
    <n v="35"/>
    <s v="PROBST"/>
    <n v="2"/>
    <x v="14"/>
    <n v="70"/>
  </r>
  <r>
    <m/>
    <s v=""/>
    <s v=""/>
    <s v=""/>
    <m/>
    <x v="15"/>
    <s v=""/>
  </r>
  <r>
    <m/>
    <s v=""/>
    <s v=""/>
    <s v=""/>
    <m/>
    <x v="15"/>
    <s v=""/>
  </r>
  <r>
    <m/>
    <s v=""/>
    <s v=""/>
    <s v=""/>
    <m/>
    <x v="15"/>
    <s v=""/>
  </r>
  <r>
    <m/>
    <s v=""/>
    <s v=""/>
    <s v=""/>
    <m/>
    <x v="15"/>
    <s v=""/>
  </r>
  <r>
    <m/>
    <s v=""/>
    <s v=""/>
    <s v=""/>
    <m/>
    <x v="15"/>
    <s v=""/>
  </r>
  <r>
    <m/>
    <s v=""/>
    <s v=""/>
    <s v=""/>
    <m/>
    <x v="15"/>
    <s v=""/>
  </r>
  <r>
    <m/>
    <s v=""/>
    <s v=""/>
    <s v=""/>
    <m/>
    <x v="15"/>
    <s v=""/>
  </r>
  <r>
    <m/>
    <s v=""/>
    <s v=""/>
    <s v=""/>
    <m/>
    <x v="15"/>
    <s v=""/>
  </r>
  <r>
    <m/>
    <s v=""/>
    <s v=""/>
    <s v=""/>
    <m/>
    <x v="15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95E7C-9481-486C-824D-8D7318070160}" name="TablaDinámica3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3:E8" firstHeaderRow="1" firstDataRow="1" firstDataCol="1"/>
  <pivotFields count="5">
    <pivotField showAll="0"/>
    <pivotField dataField="1" showAll="0"/>
    <pivotField numFmtId="14" showAll="0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4"/>
  </rowFields>
  <rowItems count="5">
    <i>
      <x v="2"/>
    </i>
    <i>
      <x v="3"/>
    </i>
    <i>
      <x v="8"/>
    </i>
    <i>
      <x v="9"/>
    </i>
    <i t="grand">
      <x/>
    </i>
  </rowItems>
  <colItems count="1">
    <i/>
  </colItems>
  <dataFields count="1">
    <dataField name="Suma de Costo (S/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13A637-6563-4802-B8A9-A3E140458CB8}" name="IngresosDinamic" cacheId="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3:H16" firstHeaderRow="1" firstDataRow="1" firstDataCol="1"/>
  <pivotFields count="8">
    <pivotField showAll="0"/>
    <pivotField showAll="0"/>
    <pivotField showAll="0"/>
    <pivotField showAll="0"/>
    <pivotField showAll="0"/>
    <pivotField showAll="0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dataField="1"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Ingresos Ventas" fld="6" baseField="7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3B714-B603-4F1A-BEDC-257D276DAAC5}" name="TablaDinámica6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6" firstHeaderRow="1" firstDataRow="1" firstDataCol="1"/>
  <pivotFields count="8">
    <pivotField showAll="0"/>
    <pivotField showAll="0"/>
    <pivotField showAll="0"/>
    <pivotField showAll="0"/>
    <pivotField showAll="0"/>
    <pivotField showAll="0">
      <items count="369">
        <item x="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t="default"/>
      </items>
    </pivotField>
    <pivotField dataField="1"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7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Gastos Inversión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63AD39-1806-4044-8621-96EE161A3FF9}" name="ListasPrecios" displayName="ListasPrecios" ref="B5:F36" totalsRowShown="0" headerRowDxfId="48" headerRowBorderDxfId="47" tableBorderDxfId="46" totalsRowBorderDxfId="45">
  <autoFilter ref="B5:F36" xr:uid="{C963AD39-1806-4044-8621-96EE161A3FF9}"/>
  <tableColumns count="5">
    <tableColumn id="1" xr3:uid="{23013142-8D90-4C1C-9D24-9C5C86DDD947}" name="Código" dataDxfId="44"/>
    <tableColumn id="2" xr3:uid="{5E629023-4D8D-4E44-A7E5-9C7B4F127E9E}" name="Modelo" dataDxfId="43"/>
    <tableColumn id="3" xr3:uid="{57923DEC-5809-4953-828A-1705F36EDB49}" name="P Inversion" dataDxfId="42"/>
    <tableColumn id="5" xr3:uid="{02276308-78CD-4626-873B-19295787AE5A}" name="P Venta" dataDxfId="41">
      <calculatedColumnFormula>ListasPrecios[[#This Row],[P Inversion]]*47%</calculatedColumnFormula>
    </tableColumn>
    <tableColumn id="4" xr3:uid="{D21A2EB6-F5B2-4A59-AE35-FD4B3FA50796}" name="Marca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6E628D-8DB9-4C0B-944F-B1A7CD60F14E}" name="Entrada" displayName="Entrada" ref="B15:H68" totalsRowShown="0" headerRowDxfId="39" headerRowBorderDxfId="38" tableBorderDxfId="37" totalsRowBorderDxfId="36">
  <autoFilter ref="B15:H68" xr:uid="{D76E628D-8DB9-4C0B-944F-B1A7CD60F14E}"/>
  <tableColumns count="7">
    <tableColumn id="1" xr3:uid="{9E076104-BFB0-44F4-B52A-DC4627FE0649}" name="Código" dataDxfId="35"/>
    <tableColumn id="2" xr3:uid="{8A566B37-F42F-4AAB-A19A-E08722985AC6}" name="Modelo" dataDxfId="34">
      <calculatedColumnFormula>IFERROR(VLOOKUP(B16,ListasPrecios[#All],2,FALSE),"")</calculatedColumnFormula>
    </tableColumn>
    <tableColumn id="3" xr3:uid="{644DA0B5-C027-4A96-8605-D8AC7EB691B5}" name="Precio (S)" dataDxfId="33"/>
    <tableColumn id="4" xr3:uid="{2969EEB6-E81D-458B-840A-BDC98DF54365}" name="Marca" dataDxfId="32">
      <calculatedColumnFormula>IFERROR(VLOOKUP(B16,ListasPrecios[#All],5,FALSE),"")</calculatedColumnFormula>
    </tableColumn>
    <tableColumn id="5" xr3:uid="{A0C5F806-3E98-422B-8251-1F54C8952B5D}" name="Cantidad" dataDxfId="31"/>
    <tableColumn id="6" xr3:uid="{99314442-653B-46DE-AE89-5EC99263F527}" name="FECHA" dataDxfId="30"/>
    <tableColumn id="7" xr3:uid="{5A9F2729-46A1-49B0-8A7E-128C2AF5CBC2}" name="Monto" dataDxfId="29">
      <calculatedColumnFormula>IFERROR(Entrada[[#This Row],[Precio (S)]]*Entrada[[#This Row],[Cantidad]],"")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642EB30-D417-418C-A769-BE0E3D5BEFCF}" name="GastosFijos" displayName="GastosFijos" ref="C19:F26" totalsRowShown="0" headerRowDxfId="28" headerRowBorderDxfId="27" tableBorderDxfId="26">
  <autoFilter ref="C19:F26" xr:uid="{9642EB30-D417-418C-A769-BE0E3D5BEFCF}"/>
  <tableColumns count="4">
    <tableColumn id="1" xr3:uid="{FC842BB7-5B70-496F-8139-9A570305F6F0}" name="Gasto Fijo" dataDxfId="25"/>
    <tableColumn id="2" xr3:uid="{61051F80-0F1F-464A-B714-A5CA56C4F0A0}" name="Costo (S/)" dataDxfId="24"/>
    <tableColumn id="3" xr3:uid="{FF3B6F16-66E7-40F6-AC7B-73EE23100E95}" name="Fecha" dataDxfId="23"/>
    <tableColumn id="4" xr3:uid="{1415CCE0-2B5E-4613-B7BE-327EC99950AC}" name="Monto">
      <calculatedColumnFormula>GastosFijos[[#This Row],[Costo (S/)]]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D5FB1B-7A51-4715-9F5A-BCA01003CA8F}" name="Salida" displayName="Salida" ref="B15:H60" totalsRowShown="0" headerRowDxfId="22" dataDxfId="20" headerRowBorderDxfId="21" tableBorderDxfId="19" totalsRowBorderDxfId="18">
  <autoFilter ref="B15:H60" xr:uid="{2AD5FB1B-7A51-4715-9F5A-BCA01003CA8F}"/>
  <tableColumns count="7">
    <tableColumn id="1" xr3:uid="{F42E51EA-8C08-4175-8C69-29F75174DFB4}" name="Código" dataDxfId="17"/>
    <tableColumn id="2" xr3:uid="{426927D7-7F39-417F-9E1E-8ACC368BE28D}" name="Modelo" dataDxfId="16">
      <calculatedColumnFormula>IFERROR(VLOOKUP(B16,ListasPrecios[#All],2,FALSE),"")</calculatedColumnFormula>
    </tableColumn>
    <tableColumn id="3" xr3:uid="{1CA5D4CE-A61D-4028-938F-5DE50A5F6E36}" name="Precio (S)" dataDxfId="15">
      <calculatedColumnFormula>IFERROR(VLOOKUP(B16,ListasPrecios[#All],3,FALSE),"")</calculatedColumnFormula>
    </tableColumn>
    <tableColumn id="4" xr3:uid="{A81B86D0-AFBC-4C59-BC96-1B674858F3F9}" name="Marca" dataDxfId="14">
      <calculatedColumnFormula>IFERROR(VLOOKUP(B16,ListasPrecios[#All],4,FALSE),"")</calculatedColumnFormula>
    </tableColumn>
    <tableColumn id="5" xr3:uid="{6ED0EA2E-1F01-4627-BCD5-6E74A6BC6FCD}" name="Cantidad" dataDxfId="13"/>
    <tableColumn id="6" xr3:uid="{770BC6D6-BD0C-4454-8D80-FDB601D5EE1D}" name="FECHA"/>
    <tableColumn id="7" xr3:uid="{E6F127D3-828D-4A29-9D34-A3191C4ED921}" name="Monto" dataDxfId="12">
      <calculatedColumnFormula>IFERROR(Salida[[#This Row],[Precio (S)]]*Salida[[#This Row],[Cantidad]],"")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408280-4F75-4E35-BF54-CD3A5E4E5219}" name="Inventario" displayName="Inventario" ref="C8:K41" totalsRowShown="0" headerRowDxfId="11" headerRowBorderDxfId="10" tableBorderDxfId="9">
  <autoFilter ref="C8:K41" xr:uid="{A6408280-4F75-4E35-BF54-CD3A5E4E5219}"/>
  <tableColumns count="9">
    <tableColumn id="1" xr3:uid="{229CC7D3-9CC4-4E8B-8A7B-EEBA0498D372}" name="Código" dataDxfId="8"/>
    <tableColumn id="2" xr3:uid="{B033A8F2-684E-49B1-A202-6E22414319A4}" name="Modelo" dataDxfId="7"/>
    <tableColumn id="3" xr3:uid="{06F38C1F-94FD-4F0C-8538-2804F6818EAA}" name="Precio Entrada(S/)" dataDxfId="6"/>
    <tableColumn id="4" xr3:uid="{3161F13C-2975-4430-BDA4-108371A49E7C}" name="Precio de Salida(S/)" dataDxfId="5"/>
    <tableColumn id="5" xr3:uid="{FBFF67F5-632A-4673-9C95-A8F0A5E90D90}" name="Marca"/>
    <tableColumn id="6" xr3:uid="{F88BB339-CE15-4F19-AE1B-B9C5DCC1B9DB}" name="Entrada" dataDxfId="4">
      <calculatedColumnFormula>SUMIF(Entrada[],Inventario[[#This Row],[Código]],Entrada[Cantidad])</calculatedColumnFormula>
    </tableColumn>
    <tableColumn id="7" xr3:uid="{FA3358E4-099A-4B9A-9B49-73E2A3A3AA8D}" name="Salida" dataDxfId="3">
      <calculatedColumnFormula>SUMIF(Salida[],Inventario[[#This Row],[Código]],Salida[Cantidad])</calculatedColumnFormula>
    </tableColumn>
    <tableColumn id="8" xr3:uid="{8F1B3106-FDE4-41A5-9B67-7D327FFEE016}" name="Stock" dataDxfId="2">
      <calculatedColumnFormula>Inventario[[#This Row],[Entrada]]-Inventario[[#This Row],[Salida]]</calculatedColumnFormula>
    </tableColumn>
    <tableColumn id="9" xr3:uid="{10E3A275-8DAB-4436-8229-1DFE27096C6F}" name="Ganancia(S/)" dataDxfId="1">
      <calculatedColumnFormula>Inventario[[#This Row],[Precio de Salida(S/)]]*Inventario[[#This Row],[Salida]]-Inventario[[#This Row],[Precio Entrada(S/)]]*Inventario[[#This Row],[Entrada]]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495E-1A92-4649-9183-C9B5F127D1E0}">
  <sheetPr codeName="Hoja1">
    <tabColor rgb="FF00B0F0"/>
  </sheetPr>
  <dimension ref="A1:Q23"/>
  <sheetViews>
    <sheetView showGridLines="0" workbookViewId="0">
      <selection activeCell="F14" sqref="F14"/>
    </sheetView>
  </sheetViews>
  <sheetFormatPr baseColWidth="10" defaultRowHeight="15" x14ac:dyDescent="0.25"/>
  <cols>
    <col min="5" max="5" width="6" customWidth="1"/>
  </cols>
  <sheetData>
    <row r="1" spans="1:17" ht="11.25" customHeight="1" thickBot="1" x14ac:dyDescent="0.3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</row>
    <row r="2" spans="1:17" ht="15" customHeight="1" x14ac:dyDescent="0.25">
      <c r="A2" s="65"/>
      <c r="B2" s="65"/>
      <c r="C2" s="65"/>
      <c r="D2" s="65"/>
      <c r="E2" s="65"/>
      <c r="F2" s="74" t="s">
        <v>123</v>
      </c>
      <c r="G2" s="75"/>
      <c r="H2" s="75"/>
      <c r="I2" s="75"/>
      <c r="J2" s="75"/>
      <c r="K2" s="75"/>
      <c r="L2" s="75"/>
      <c r="M2" s="76"/>
      <c r="N2" s="65"/>
      <c r="O2" s="65"/>
      <c r="P2" s="65"/>
      <c r="Q2" s="65"/>
    </row>
    <row r="3" spans="1:17" ht="14.25" customHeight="1" x14ac:dyDescent="0.25">
      <c r="A3" s="65"/>
      <c r="B3" s="65"/>
      <c r="C3" s="65"/>
      <c r="D3" s="65"/>
      <c r="E3" s="65"/>
      <c r="F3" s="77"/>
      <c r="G3" s="78"/>
      <c r="H3" s="78"/>
      <c r="I3" s="78"/>
      <c r="J3" s="78"/>
      <c r="K3" s="78"/>
      <c r="L3" s="78"/>
      <c r="M3" s="79"/>
      <c r="N3" s="65"/>
      <c r="O3" s="65"/>
      <c r="P3" s="65"/>
      <c r="Q3" s="65"/>
    </row>
    <row r="4" spans="1:17" ht="24.75" customHeight="1" x14ac:dyDescent="0.25">
      <c r="A4" s="65"/>
      <c r="B4" s="65"/>
      <c r="C4" s="65"/>
      <c r="D4" s="65"/>
      <c r="E4" s="65"/>
      <c r="F4" s="80"/>
      <c r="G4" s="81"/>
      <c r="H4" s="81"/>
      <c r="I4" s="81"/>
      <c r="J4" s="81"/>
      <c r="K4" s="81"/>
      <c r="L4" s="81"/>
      <c r="M4" s="82"/>
      <c r="N4" s="65"/>
      <c r="O4" s="65"/>
      <c r="P4" s="65"/>
      <c r="Q4" s="65"/>
    </row>
    <row r="5" spans="1:17" ht="30" customHeight="1" thickBot="1" x14ac:dyDescent="0.3">
      <c r="A5" s="65"/>
      <c r="B5" s="65"/>
      <c r="C5" s="65"/>
      <c r="D5" s="65"/>
      <c r="E5" s="65"/>
      <c r="F5" s="83"/>
      <c r="G5" s="84"/>
      <c r="H5" s="84"/>
      <c r="I5" s="84"/>
      <c r="J5" s="84"/>
      <c r="K5" s="84"/>
      <c r="L5" s="84"/>
      <c r="M5" s="85"/>
      <c r="N5" s="65"/>
      <c r="O5" s="65"/>
      <c r="P5" s="65"/>
      <c r="Q5" s="65"/>
    </row>
    <row r="6" spans="1:17" ht="18" customHeight="1" x14ac:dyDescent="0.75">
      <c r="A6" s="65"/>
      <c r="B6" s="65"/>
      <c r="C6" s="65"/>
      <c r="D6" s="65"/>
      <c r="E6" s="65"/>
      <c r="F6" s="66"/>
      <c r="G6" s="66"/>
      <c r="H6" s="66"/>
      <c r="I6" s="66"/>
      <c r="J6" s="66"/>
      <c r="K6" s="66"/>
      <c r="L6" s="66"/>
      <c r="M6" s="66"/>
      <c r="N6" s="65"/>
      <c r="O6" s="65"/>
      <c r="P6" s="65"/>
      <c r="Q6" s="65"/>
    </row>
    <row r="7" spans="1:17" ht="17.25" customHeight="1" x14ac:dyDescent="0.25">
      <c r="A7" s="65"/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</row>
    <row r="8" spans="1:17" x14ac:dyDescent="0.25">
      <c r="A8" s="65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7" x14ac:dyDescent="0.25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</row>
    <row r="10" spans="1:17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</row>
    <row r="11" spans="1:17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</row>
    <row r="12" spans="1:17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</row>
    <row r="13" spans="1:17" x14ac:dyDescent="0.25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</row>
    <row r="14" spans="1:17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</row>
    <row r="15" spans="1:17" x14ac:dyDescent="0.25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</row>
    <row r="16" spans="1:17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</row>
    <row r="17" spans="1:17" x14ac:dyDescent="0.2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</row>
    <row r="18" spans="1:17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</row>
    <row r="19" spans="1:17" x14ac:dyDescent="0.2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</row>
    <row r="20" spans="1:17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</row>
    <row r="21" spans="1:17" x14ac:dyDescent="0.2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</row>
    <row r="22" spans="1:17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</row>
    <row r="23" spans="1:17" x14ac:dyDescent="0.25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</row>
  </sheetData>
  <mergeCells count="1">
    <mergeCell ref="F2:M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7EAFF-6067-4187-A530-3C99DAFCE077}">
  <sheetPr codeName="Hoja2">
    <tabColor rgb="FFFF0000"/>
  </sheetPr>
  <dimension ref="A5:F36"/>
  <sheetViews>
    <sheetView zoomScale="85" zoomScaleNormal="85" workbookViewId="0">
      <selection activeCell="K16" sqref="K16"/>
    </sheetView>
  </sheetViews>
  <sheetFormatPr baseColWidth="10" defaultRowHeight="15" x14ac:dyDescent="0.25"/>
  <cols>
    <col min="1" max="1" width="3.85546875" customWidth="1"/>
    <col min="3" max="3" width="31.140625" bestFit="1" customWidth="1"/>
    <col min="4" max="4" width="11.5703125" customWidth="1"/>
    <col min="6" max="6" width="13.7109375" customWidth="1"/>
  </cols>
  <sheetData>
    <row r="5" spans="1:6" x14ac:dyDescent="0.25">
      <c r="B5" s="5" t="s">
        <v>2</v>
      </c>
      <c r="C5" s="6" t="s">
        <v>0</v>
      </c>
      <c r="D5" s="6" t="s">
        <v>76</v>
      </c>
      <c r="E5" s="7" t="s">
        <v>77</v>
      </c>
      <c r="F5" s="7" t="s">
        <v>1</v>
      </c>
    </row>
    <row r="6" spans="1:6" x14ac:dyDescent="0.25">
      <c r="A6" s="39"/>
      <c r="B6" s="27" t="s">
        <v>20</v>
      </c>
      <c r="C6" s="28" t="s">
        <v>12</v>
      </c>
      <c r="D6" s="44">
        <v>15.5</v>
      </c>
      <c r="E6" s="42">
        <v>35</v>
      </c>
      <c r="F6" s="29" t="s">
        <v>69</v>
      </c>
    </row>
    <row r="7" spans="1:6" x14ac:dyDescent="0.25">
      <c r="A7" s="39"/>
      <c r="B7" s="27" t="s">
        <v>21</v>
      </c>
      <c r="C7" s="28" t="s">
        <v>13</v>
      </c>
      <c r="D7" s="44">
        <v>16</v>
      </c>
      <c r="E7" s="42">
        <v>35</v>
      </c>
      <c r="F7" s="29" t="s">
        <v>69</v>
      </c>
    </row>
    <row r="8" spans="1:6" x14ac:dyDescent="0.25">
      <c r="A8" s="39"/>
      <c r="B8" s="27" t="s">
        <v>22</v>
      </c>
      <c r="C8" s="28" t="s">
        <v>14</v>
      </c>
      <c r="D8" s="44">
        <v>11.5</v>
      </c>
      <c r="E8" s="42">
        <v>25</v>
      </c>
      <c r="F8" s="29" t="s">
        <v>69</v>
      </c>
    </row>
    <row r="9" spans="1:6" x14ac:dyDescent="0.25">
      <c r="A9" s="39"/>
      <c r="B9" s="27" t="s">
        <v>23</v>
      </c>
      <c r="C9" s="28" t="s">
        <v>74</v>
      </c>
      <c r="D9" s="44">
        <v>11.5</v>
      </c>
      <c r="E9" s="42">
        <v>25</v>
      </c>
      <c r="F9" s="29" t="s">
        <v>69</v>
      </c>
    </row>
    <row r="10" spans="1:6" x14ac:dyDescent="0.25">
      <c r="A10" s="39"/>
      <c r="B10" s="27" t="s">
        <v>28</v>
      </c>
      <c r="C10" s="28" t="s">
        <v>15</v>
      </c>
      <c r="D10" s="44">
        <v>9</v>
      </c>
      <c r="E10" s="42">
        <v>19</v>
      </c>
      <c r="F10" s="29" t="s">
        <v>69</v>
      </c>
    </row>
    <row r="11" spans="1:6" x14ac:dyDescent="0.25">
      <c r="A11" s="39"/>
      <c r="B11" s="27" t="s">
        <v>24</v>
      </c>
      <c r="C11" s="28" t="s">
        <v>16</v>
      </c>
      <c r="D11" s="44">
        <v>9</v>
      </c>
      <c r="E11" s="42">
        <v>19</v>
      </c>
      <c r="F11" s="29" t="s">
        <v>69</v>
      </c>
    </row>
    <row r="12" spans="1:6" x14ac:dyDescent="0.25">
      <c r="A12" s="39"/>
      <c r="B12" s="27" t="s">
        <v>25</v>
      </c>
      <c r="C12" s="28" t="s">
        <v>17</v>
      </c>
      <c r="D12" s="44">
        <v>9</v>
      </c>
      <c r="E12" s="42">
        <v>19</v>
      </c>
      <c r="F12" s="29" t="s">
        <v>69</v>
      </c>
    </row>
    <row r="13" spans="1:6" x14ac:dyDescent="0.25">
      <c r="A13" s="39"/>
      <c r="B13" s="27" t="s">
        <v>26</v>
      </c>
      <c r="C13" s="28" t="s">
        <v>19</v>
      </c>
      <c r="D13" s="44">
        <v>9</v>
      </c>
      <c r="E13" s="42">
        <v>19</v>
      </c>
      <c r="F13" s="29" t="s">
        <v>69</v>
      </c>
    </row>
    <row r="14" spans="1:6" x14ac:dyDescent="0.25">
      <c r="A14" s="39"/>
      <c r="B14" s="27" t="s">
        <v>27</v>
      </c>
      <c r="C14" s="28" t="s">
        <v>18</v>
      </c>
      <c r="D14" s="44">
        <v>9</v>
      </c>
      <c r="E14" s="42">
        <v>19</v>
      </c>
      <c r="F14" s="29" t="s">
        <v>69</v>
      </c>
    </row>
    <row r="15" spans="1:6" x14ac:dyDescent="0.25">
      <c r="A15" s="39"/>
      <c r="B15" s="36" t="s">
        <v>29</v>
      </c>
      <c r="C15" s="37" t="s">
        <v>31</v>
      </c>
      <c r="D15" s="45">
        <v>12.5</v>
      </c>
      <c r="E15" s="43">
        <v>27</v>
      </c>
      <c r="F15" s="38" t="s">
        <v>70</v>
      </c>
    </row>
    <row r="16" spans="1:6" x14ac:dyDescent="0.25">
      <c r="A16" s="40"/>
      <c r="B16" s="36" t="s">
        <v>30</v>
      </c>
      <c r="C16" s="37" t="s">
        <v>32</v>
      </c>
      <c r="D16" s="45">
        <v>12.5</v>
      </c>
      <c r="E16" s="43">
        <v>27</v>
      </c>
      <c r="F16" s="38" t="s">
        <v>70</v>
      </c>
    </row>
    <row r="17" spans="1:6" x14ac:dyDescent="0.25">
      <c r="A17" s="40"/>
      <c r="B17" s="36" t="s">
        <v>33</v>
      </c>
      <c r="C17" s="37" t="s">
        <v>34</v>
      </c>
      <c r="D17" s="45">
        <v>15.5</v>
      </c>
      <c r="E17" s="43">
        <v>35</v>
      </c>
      <c r="F17" s="38" t="s">
        <v>70</v>
      </c>
    </row>
    <row r="18" spans="1:6" x14ac:dyDescent="0.25">
      <c r="A18" s="41"/>
      <c r="B18" s="36" t="s">
        <v>51</v>
      </c>
      <c r="C18" s="37" t="s">
        <v>35</v>
      </c>
      <c r="D18" s="45">
        <v>15.5</v>
      </c>
      <c r="E18" s="43">
        <v>35</v>
      </c>
      <c r="F18" s="38" t="s">
        <v>70</v>
      </c>
    </row>
    <row r="19" spans="1:6" x14ac:dyDescent="0.25">
      <c r="A19" s="41"/>
      <c r="B19" s="36" t="s">
        <v>52</v>
      </c>
      <c r="C19" s="37" t="s">
        <v>36</v>
      </c>
      <c r="D19" s="45">
        <v>9.5</v>
      </c>
      <c r="E19" s="43">
        <v>20</v>
      </c>
      <c r="F19" s="38" t="s">
        <v>70</v>
      </c>
    </row>
    <row r="20" spans="1:6" x14ac:dyDescent="0.25">
      <c r="A20" s="41"/>
      <c r="B20" s="36" t="s">
        <v>53</v>
      </c>
      <c r="C20" s="37" t="s">
        <v>37</v>
      </c>
      <c r="D20" s="45">
        <v>9.5</v>
      </c>
      <c r="E20" s="43">
        <v>20</v>
      </c>
      <c r="F20" s="38" t="s">
        <v>70</v>
      </c>
    </row>
    <row r="21" spans="1:6" x14ac:dyDescent="0.25">
      <c r="A21" s="41"/>
      <c r="B21" s="36" t="s">
        <v>54</v>
      </c>
      <c r="C21" s="37" t="s">
        <v>75</v>
      </c>
      <c r="D21" s="45">
        <v>9.5</v>
      </c>
      <c r="E21" s="43">
        <v>22</v>
      </c>
      <c r="F21" s="38" t="s">
        <v>70</v>
      </c>
    </row>
    <row r="22" spans="1:6" x14ac:dyDescent="0.25">
      <c r="A22" s="41"/>
      <c r="B22" s="36" t="s">
        <v>55</v>
      </c>
      <c r="C22" s="37" t="s">
        <v>38</v>
      </c>
      <c r="D22" s="45">
        <v>13.5</v>
      </c>
      <c r="E22" s="43">
        <v>27</v>
      </c>
      <c r="F22" s="38" t="s">
        <v>70</v>
      </c>
    </row>
    <row r="23" spans="1:6" x14ac:dyDescent="0.25">
      <c r="A23" s="40"/>
      <c r="B23" s="36" t="s">
        <v>56</v>
      </c>
      <c r="C23" s="37" t="s">
        <v>39</v>
      </c>
      <c r="D23" s="45">
        <v>25</v>
      </c>
      <c r="E23" s="43">
        <v>40</v>
      </c>
      <c r="F23" s="38" t="s">
        <v>70</v>
      </c>
    </row>
    <row r="24" spans="1:6" x14ac:dyDescent="0.25">
      <c r="A24" s="40"/>
      <c r="B24" s="36" t="s">
        <v>57</v>
      </c>
      <c r="C24" s="37" t="s">
        <v>40</v>
      </c>
      <c r="D24" s="45">
        <v>8</v>
      </c>
      <c r="E24" s="43">
        <v>17</v>
      </c>
      <c r="F24" s="38" t="s">
        <v>70</v>
      </c>
    </row>
    <row r="25" spans="1:6" x14ac:dyDescent="0.25">
      <c r="A25" s="40"/>
      <c r="B25" s="36" t="s">
        <v>58</v>
      </c>
      <c r="C25" s="37" t="s">
        <v>41</v>
      </c>
      <c r="D25" s="45">
        <v>9</v>
      </c>
      <c r="E25" s="43">
        <v>20</v>
      </c>
      <c r="F25" s="38" t="s">
        <v>70</v>
      </c>
    </row>
    <row r="26" spans="1:6" x14ac:dyDescent="0.25">
      <c r="A26" s="41"/>
      <c r="B26" s="36" t="s">
        <v>59</v>
      </c>
      <c r="C26" s="37" t="s">
        <v>42</v>
      </c>
      <c r="D26" s="45">
        <v>15</v>
      </c>
      <c r="E26" s="43">
        <v>30</v>
      </c>
      <c r="F26" s="38" t="s">
        <v>70</v>
      </c>
    </row>
    <row r="27" spans="1:6" x14ac:dyDescent="0.25">
      <c r="A27" s="41"/>
      <c r="B27" s="36" t="s">
        <v>60</v>
      </c>
      <c r="C27" s="37" t="s">
        <v>47</v>
      </c>
      <c r="D27" s="45">
        <v>9.5</v>
      </c>
      <c r="E27" s="43">
        <v>22</v>
      </c>
      <c r="F27" s="38" t="s">
        <v>70</v>
      </c>
    </row>
    <row r="28" spans="1:6" x14ac:dyDescent="0.25">
      <c r="A28" s="40"/>
      <c r="B28" s="30" t="s">
        <v>61</v>
      </c>
      <c r="C28" s="31" t="s">
        <v>44</v>
      </c>
      <c r="D28" s="46">
        <v>9</v>
      </c>
      <c r="E28" s="31">
        <v>24</v>
      </c>
      <c r="F28" s="32" t="s">
        <v>71</v>
      </c>
    </row>
    <row r="29" spans="1:6" x14ac:dyDescent="0.25">
      <c r="A29" s="40"/>
      <c r="B29" s="30" t="s">
        <v>62</v>
      </c>
      <c r="C29" s="31" t="s">
        <v>43</v>
      </c>
      <c r="D29" s="46">
        <v>9</v>
      </c>
      <c r="E29" s="31">
        <v>24</v>
      </c>
      <c r="F29" s="32" t="s">
        <v>71</v>
      </c>
    </row>
    <row r="30" spans="1:6" x14ac:dyDescent="0.25">
      <c r="A30" s="41"/>
      <c r="B30" s="30" t="s">
        <v>63</v>
      </c>
      <c r="C30" s="31" t="s">
        <v>45</v>
      </c>
      <c r="D30" s="46">
        <v>9</v>
      </c>
      <c r="E30" s="31">
        <v>17</v>
      </c>
      <c r="F30" s="32" t="s">
        <v>71</v>
      </c>
    </row>
    <row r="31" spans="1:6" x14ac:dyDescent="0.25">
      <c r="A31" s="39"/>
      <c r="B31" s="30" t="s">
        <v>64</v>
      </c>
      <c r="C31" s="31" t="s">
        <v>46</v>
      </c>
      <c r="D31" s="46">
        <v>9</v>
      </c>
      <c r="E31" s="31">
        <v>22</v>
      </c>
      <c r="F31" s="32" t="s">
        <v>71</v>
      </c>
    </row>
    <row r="32" spans="1:6" x14ac:dyDescent="0.25">
      <c r="A32" s="40"/>
      <c r="B32" s="33" t="s">
        <v>66</v>
      </c>
      <c r="C32" s="34" t="s">
        <v>48</v>
      </c>
      <c r="D32" s="47">
        <v>20</v>
      </c>
      <c r="E32" s="34">
        <v>35</v>
      </c>
      <c r="F32" s="35" t="s">
        <v>72</v>
      </c>
    </row>
    <row r="33" spans="1:6" x14ac:dyDescent="0.25">
      <c r="A33" s="40"/>
      <c r="B33" s="33" t="s">
        <v>65</v>
      </c>
      <c r="C33" s="34" t="s">
        <v>49</v>
      </c>
      <c r="D33" s="47">
        <v>6</v>
      </c>
      <c r="E33" s="34">
        <v>10</v>
      </c>
      <c r="F33" s="35" t="s">
        <v>72</v>
      </c>
    </row>
    <row r="34" spans="1:6" x14ac:dyDescent="0.25">
      <c r="A34" s="40"/>
      <c r="B34" s="2" t="s">
        <v>67</v>
      </c>
      <c r="C34" s="1" t="s">
        <v>50</v>
      </c>
      <c r="D34" s="48">
        <v>2</v>
      </c>
      <c r="E34" s="1">
        <v>5</v>
      </c>
      <c r="F34" s="4" t="s">
        <v>73</v>
      </c>
    </row>
    <row r="35" spans="1:6" x14ac:dyDescent="0.25">
      <c r="B35" s="2"/>
      <c r="C35" s="1"/>
      <c r="D35" s="1"/>
      <c r="E35" s="3"/>
      <c r="F35" s="3"/>
    </row>
    <row r="36" spans="1:6" x14ac:dyDescent="0.25">
      <c r="B36" s="2"/>
      <c r="C36" s="1"/>
      <c r="D36" s="1"/>
      <c r="E36" s="3"/>
      <c r="F36" s="3"/>
    </row>
  </sheetData>
  <pageMargins left="0.7" right="0.7" top="0.75" bottom="0.75" header="0.3" footer="0.3"/>
  <pageSetup paperSize="9" orientation="portrait" r:id="rId1"/>
  <ignoredErrors>
    <ignoredError sqref="E6:E35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53773-2A20-4E4A-AD4C-67D608702584}">
  <sheetPr codeName="Hoja3">
    <tabColor theme="4"/>
  </sheetPr>
  <dimension ref="B6:H87"/>
  <sheetViews>
    <sheetView workbookViewId="0">
      <selection activeCell="H16" sqref="H16"/>
    </sheetView>
  </sheetViews>
  <sheetFormatPr baseColWidth="10" defaultRowHeight="15" x14ac:dyDescent="0.25"/>
  <cols>
    <col min="1" max="1" width="9.7109375" customWidth="1"/>
    <col min="2" max="2" width="22.5703125" bestFit="1" customWidth="1"/>
    <col min="3" max="3" width="33.85546875" customWidth="1"/>
    <col min="4" max="4" width="14.5703125" customWidth="1"/>
    <col min="5" max="5" width="13" customWidth="1"/>
  </cols>
  <sheetData>
    <row r="6" spans="2:8" ht="18.75" x14ac:dyDescent="0.3">
      <c r="B6" s="9" t="s">
        <v>2</v>
      </c>
      <c r="C6" s="8" t="s">
        <v>65</v>
      </c>
    </row>
    <row r="7" spans="2:8" ht="18.75" x14ac:dyDescent="0.3">
      <c r="B7" s="9" t="s">
        <v>5</v>
      </c>
      <c r="C7" s="8" t="str">
        <f>IFERROR(VLOOKUP(C6,ListasPrecios[#All],2,FALSE),"")</f>
        <v>Vendas 3m</v>
      </c>
    </row>
    <row r="8" spans="2:8" ht="18.75" x14ac:dyDescent="0.3">
      <c r="B8" s="9" t="s">
        <v>3</v>
      </c>
      <c r="C8" s="8">
        <f>IFERROR(VLOOKUP(C6,ListasPrecios[#All],3,FALSE),"")</f>
        <v>6</v>
      </c>
    </row>
    <row r="9" spans="2:8" ht="18.75" x14ac:dyDescent="0.3">
      <c r="B9" s="9" t="s">
        <v>1</v>
      </c>
      <c r="C9" s="8" t="str">
        <f>IFERROR(VLOOKUP(C6,ListasPrecios[#All],5,FALSE),"")</f>
        <v>Probst Marg</v>
      </c>
    </row>
    <row r="10" spans="2:8" ht="18.75" x14ac:dyDescent="0.3">
      <c r="B10" s="9" t="s">
        <v>4</v>
      </c>
      <c r="C10" s="8">
        <v>15</v>
      </c>
    </row>
    <row r="11" spans="2:8" ht="18.75" x14ac:dyDescent="0.3">
      <c r="B11" s="9" t="s">
        <v>95</v>
      </c>
      <c r="C11" s="53">
        <v>44910</v>
      </c>
    </row>
    <row r="15" spans="2:8" ht="18.75" x14ac:dyDescent="0.3">
      <c r="B15" s="15" t="s">
        <v>2</v>
      </c>
      <c r="C15" s="16" t="s">
        <v>0</v>
      </c>
      <c r="D15" s="16" t="s">
        <v>3</v>
      </c>
      <c r="E15" s="16" t="s">
        <v>1</v>
      </c>
      <c r="F15" s="17" t="s">
        <v>4</v>
      </c>
      <c r="G15" s="17" t="s">
        <v>78</v>
      </c>
      <c r="H15" s="17" t="s">
        <v>96</v>
      </c>
    </row>
    <row r="16" spans="2:8" x14ac:dyDescent="0.25">
      <c r="B16" s="8" t="s">
        <v>65</v>
      </c>
      <c r="C16" s="8" t="str">
        <f>IFERROR(VLOOKUP(B16,ListasPrecios[#All],2,FALSE),"")</f>
        <v>Vendas 3m</v>
      </c>
      <c r="D16" s="8">
        <f>IFERROR(VLOOKUP(B16,ListasPrecios[#All],3,FALSE),"")</f>
        <v>6</v>
      </c>
      <c r="E16" s="8" t="str">
        <f>IFERROR(VLOOKUP(B16,ListasPrecios[#All],5,FALSE),"")</f>
        <v>Probst Marg</v>
      </c>
      <c r="F16" s="8">
        <v>15</v>
      </c>
      <c r="G16" s="53">
        <v>44910</v>
      </c>
      <c r="H16" s="8">
        <f>IFERROR(Entrada[[#This Row],[Precio (S)]]*Entrada[[#This Row],[Cantidad]],"")</f>
        <v>90</v>
      </c>
    </row>
    <row r="17" spans="2:8" x14ac:dyDescent="0.25">
      <c r="B17" s="8" t="s">
        <v>63</v>
      </c>
      <c r="C17" s="8" t="str">
        <f>IFERROR(VLOOKUP(B17,ListasPrecios[#All],2,FALSE),"")</f>
        <v>Tanks Básicas algodón</v>
      </c>
      <c r="D17" s="8">
        <f>IFERROR(VLOOKUP(B17,ListasPrecios[#All],3,FALSE),"")</f>
        <v>9</v>
      </c>
      <c r="E17" s="8" t="str">
        <f>IFERROR(VLOOKUP(B17,ListasPrecios[#All],5,FALSE),"")</f>
        <v>Probst Dan</v>
      </c>
      <c r="F17" s="8">
        <v>12</v>
      </c>
      <c r="G17" s="53">
        <v>44727</v>
      </c>
      <c r="H17" s="8">
        <f>IFERROR(Entrada[[#This Row],[Precio (S)]]*Entrada[[#This Row],[Cantidad]],"")</f>
        <v>108</v>
      </c>
    </row>
    <row r="18" spans="2:8" x14ac:dyDescent="0.25">
      <c r="B18" s="8" t="s">
        <v>57</v>
      </c>
      <c r="C18" s="8" t="str">
        <f>IFERROR(VLOOKUP(B18,ListasPrecios[#All],2,FALSE),"")</f>
        <v>Bucket Hat</v>
      </c>
      <c r="D18" s="8">
        <f>IFERROR(VLOOKUP(B18,ListasPrecios[#All],3,FALSE),"")</f>
        <v>8</v>
      </c>
      <c r="E18" s="8" t="str">
        <f>IFERROR(VLOOKUP(B18,ListasPrecios[#All],5,FALSE),"")</f>
        <v>Probst Jfer</v>
      </c>
      <c r="F18" s="8">
        <v>12</v>
      </c>
      <c r="G18" s="53">
        <v>44849</v>
      </c>
      <c r="H18" s="8">
        <f>IFERROR(Entrada[[#This Row],[Precio (S)]]*Entrada[[#This Row],[Cantidad]],"")</f>
        <v>96</v>
      </c>
    </row>
    <row r="19" spans="2:8" x14ac:dyDescent="0.25">
      <c r="B19" s="8" t="s">
        <v>53</v>
      </c>
      <c r="C19" s="8" t="str">
        <f>IFERROR(VLOOKUP(B19,ListasPrecios[#All],2,FALSE),"")</f>
        <v>Bividí normal</v>
      </c>
      <c r="D19" s="8">
        <f>IFERROR(VLOOKUP(B19,ListasPrecios[#All],3,FALSE),"")</f>
        <v>9.5</v>
      </c>
      <c r="E19" s="8" t="str">
        <f>IFERROR(VLOOKUP(B19,ListasPrecios[#All],5,FALSE),"")</f>
        <v>Probst Jfer</v>
      </c>
      <c r="F19" s="8">
        <v>12</v>
      </c>
      <c r="G19" s="53">
        <v>44819</v>
      </c>
      <c r="H19" s="8">
        <f>IFERROR(Entrada[[#This Row],[Precio (S)]]*Entrada[[#This Row],[Cantidad]],"")</f>
        <v>114</v>
      </c>
    </row>
    <row r="20" spans="2:8" x14ac:dyDescent="0.25">
      <c r="B20" s="8" t="s">
        <v>64</v>
      </c>
      <c r="C20" s="8" t="str">
        <f>IFERROR(VLOOKUP(B20,ListasPrecios[#All],2,FALSE),"")</f>
        <v>Top estampados algodón mujer</v>
      </c>
      <c r="D20" s="8">
        <f>IFERROR(VLOOKUP(B20,ListasPrecios[#All],3,FALSE),"")</f>
        <v>9</v>
      </c>
      <c r="E20" s="8" t="str">
        <f>IFERROR(VLOOKUP(B20,ListasPrecios[#All],5,FALSE),"")</f>
        <v>Probst Dan</v>
      </c>
      <c r="F20" s="8">
        <v>12</v>
      </c>
      <c r="G20" s="53">
        <v>44788</v>
      </c>
      <c r="H20" s="8">
        <f>IFERROR(Entrada[[#This Row],[Precio (S)]]*Entrada[[#This Row],[Cantidad]],"")</f>
        <v>108</v>
      </c>
    </row>
    <row r="21" spans="2:8" x14ac:dyDescent="0.25">
      <c r="B21" s="8" t="s">
        <v>67</v>
      </c>
      <c r="C21" s="8" t="str">
        <f>IFERROR(VLOOKUP(B21,ListasPrecios[#All],2,FALSE),"")</f>
        <v>Medias algodón</v>
      </c>
      <c r="D21" s="8">
        <f>IFERROR(VLOOKUP(B21,ListasPrecios[#All],3,FALSE),"")</f>
        <v>2</v>
      </c>
      <c r="E21" s="8" t="str">
        <f>IFERROR(VLOOKUP(B21,ListasPrecios[#All],5,FALSE),"")</f>
        <v>Probst Medias</v>
      </c>
      <c r="F21" s="8">
        <v>12</v>
      </c>
      <c r="G21" s="53">
        <v>44754</v>
      </c>
      <c r="H21" s="8">
        <f>IFERROR(Entrada[[#This Row],[Precio (S)]]*Entrada[[#This Row],[Cantidad]],"")</f>
        <v>24</v>
      </c>
    </row>
    <row r="22" spans="2:8" x14ac:dyDescent="0.25">
      <c r="B22" s="8" t="s">
        <v>66</v>
      </c>
      <c r="C22" s="8" t="str">
        <f>IFERROR(VLOOKUP(B22,ListasPrecios[#All],2,FALSE),"")</f>
        <v>Guantes Boxeo Unisex</v>
      </c>
      <c r="D22" s="8">
        <f>IFERROR(VLOOKUP(B22,ListasPrecios[#All],3,FALSE),"")</f>
        <v>20</v>
      </c>
      <c r="E22" s="8" t="str">
        <f>IFERROR(VLOOKUP(B22,ListasPrecios[#All],5,FALSE),"")</f>
        <v>Probst Marg</v>
      </c>
      <c r="F22" s="8">
        <v>13</v>
      </c>
      <c r="G22" s="53">
        <v>44724</v>
      </c>
      <c r="H22" s="8">
        <f>IFERROR(Entrada[[#This Row],[Precio (S)]]*Entrada[[#This Row],[Cantidad]],"")</f>
        <v>260</v>
      </c>
    </row>
    <row r="23" spans="2:8" x14ac:dyDescent="0.25">
      <c r="B23" s="8" t="s">
        <v>66</v>
      </c>
      <c r="C23" s="8" t="str">
        <f>IFERROR(VLOOKUP(B23,ListasPrecios[#All],2,FALSE),"")</f>
        <v>Guantes Boxeo Unisex</v>
      </c>
      <c r="D23" s="8">
        <f>IFERROR(VLOOKUP(B23,ListasPrecios[#All],3,FALSE),"")</f>
        <v>20</v>
      </c>
      <c r="E23" s="8" t="str">
        <f>IFERROR(VLOOKUP(B23,ListasPrecios[#All],5,FALSE),"")</f>
        <v>Probst Marg</v>
      </c>
      <c r="F23" s="8">
        <v>9</v>
      </c>
      <c r="G23" s="53">
        <v>44573</v>
      </c>
      <c r="H23" s="8">
        <f>IFERROR(Entrada[[#This Row],[Precio (S)]]*Entrada[[#This Row],[Cantidad]],"")</f>
        <v>180</v>
      </c>
    </row>
    <row r="24" spans="2:8" x14ac:dyDescent="0.25">
      <c r="B24" s="8" t="s">
        <v>29</v>
      </c>
      <c r="C24" s="8" t="str">
        <f>IFERROR(VLOOKUP(B24,ListasPrecios[#All],2,FALSE),"")</f>
        <v>Buzo cremallera Mujer</v>
      </c>
      <c r="D24" s="8">
        <f>IFERROR(VLOOKUP(B24,ListasPrecios[#All],3,FALSE),"")</f>
        <v>12.5</v>
      </c>
      <c r="E24" s="8" t="str">
        <f>IFERROR(VLOOKUP(B24,ListasPrecios[#All],5,FALSE),"")</f>
        <v>Probst Jfer</v>
      </c>
      <c r="F24" s="8">
        <v>9</v>
      </c>
      <c r="G24" s="53">
        <v>44604</v>
      </c>
      <c r="H24" s="8">
        <f>IFERROR(Entrada[[#This Row],[Precio (S)]]*Entrada[[#This Row],[Cantidad]],"")</f>
        <v>112.5</v>
      </c>
    </row>
    <row r="25" spans="2:8" x14ac:dyDescent="0.25">
      <c r="B25" s="8" t="s">
        <v>30</v>
      </c>
      <c r="C25" s="8" t="str">
        <f>IFERROR(VLOOKUP(B25,ListasPrecios[#All],2,FALSE),"")</f>
        <v>Buzo cremallera Hombre</v>
      </c>
      <c r="D25" s="8">
        <f>IFERROR(VLOOKUP(B25,ListasPrecios[#All],3,FALSE),"")</f>
        <v>12.5</v>
      </c>
      <c r="E25" s="8" t="str">
        <f>IFERROR(VLOOKUP(B25,ListasPrecios[#All],5,FALSE),"")</f>
        <v>Probst Jfer</v>
      </c>
      <c r="F25" s="8">
        <v>9</v>
      </c>
      <c r="G25" s="53">
        <v>44604</v>
      </c>
      <c r="H25" s="8">
        <f>IFERROR(Entrada[[#This Row],[Precio (S)]]*Entrada[[#This Row],[Cantidad]],"")</f>
        <v>112.5</v>
      </c>
    </row>
    <row r="26" spans="2:8" x14ac:dyDescent="0.25">
      <c r="B26" s="8" t="s">
        <v>27</v>
      </c>
      <c r="C26" s="8" t="str">
        <f>IFERROR(VLOOKUP(B26,ListasPrecios[#All],2,FALSE),"")</f>
        <v>Top Amelia</v>
      </c>
      <c r="D26" s="8">
        <f>IFERROR(VLOOKUP(B26,ListasPrecios[#All],3,FALSE),"")</f>
        <v>9</v>
      </c>
      <c r="E26" s="8" t="str">
        <f>IFERROR(VLOOKUP(B26,ListasPrecios[#All],5,FALSE),"")</f>
        <v>Probst Vane</v>
      </c>
      <c r="F26" s="8">
        <v>9</v>
      </c>
      <c r="G26" s="53">
        <v>44632</v>
      </c>
      <c r="H26" s="8">
        <f>IFERROR(Entrada[[#This Row],[Precio (S)]]*Entrada[[#This Row],[Cantidad]],"")</f>
        <v>81</v>
      </c>
    </row>
    <row r="27" spans="2:8" x14ac:dyDescent="0.25">
      <c r="B27" s="8" t="s">
        <v>26</v>
      </c>
      <c r="C27" s="8" t="str">
        <f>IFERROR(VLOOKUP(B27,ListasPrecios[#All],2,FALSE),"")</f>
        <v>Top Emma</v>
      </c>
      <c r="D27" s="8">
        <f>IFERROR(VLOOKUP(B27,ListasPrecios[#All],3,FALSE),"")</f>
        <v>9</v>
      </c>
      <c r="E27" s="8" t="str">
        <f>IFERROR(VLOOKUP(B27,ListasPrecios[#All],5,FALSE),"")</f>
        <v>Probst Vane</v>
      </c>
      <c r="F27" s="8">
        <v>9</v>
      </c>
      <c r="G27" s="53">
        <v>44693</v>
      </c>
      <c r="H27" s="8">
        <f>IFERROR(Entrada[[#This Row],[Precio (S)]]*Entrada[[#This Row],[Cantidad]],"")</f>
        <v>81</v>
      </c>
    </row>
    <row r="28" spans="2:8" x14ac:dyDescent="0.25">
      <c r="B28" s="8" t="s">
        <v>25</v>
      </c>
      <c r="C28" s="8" t="str">
        <f>IFERROR(VLOOKUP(B28,ListasPrecios[#All],2,FALSE),"")</f>
        <v>Top Olivia</v>
      </c>
      <c r="D28" s="8">
        <f>IFERROR(VLOOKUP(B28,ListasPrecios[#All],3,FALSE),"")</f>
        <v>9</v>
      </c>
      <c r="E28" s="8" t="str">
        <f>IFERROR(VLOOKUP(B28,ListasPrecios[#All],5,FALSE),"")</f>
        <v>Probst Vane</v>
      </c>
      <c r="F28" s="8">
        <v>8</v>
      </c>
      <c r="G28" s="53">
        <v>44693</v>
      </c>
      <c r="H28" s="8">
        <f>IFERROR(Entrada[[#This Row],[Precio (S)]]*Entrada[[#This Row],[Cantidad]],"")</f>
        <v>72</v>
      </c>
    </row>
    <row r="29" spans="2:8" x14ac:dyDescent="0.25">
      <c r="B29" s="8" t="s">
        <v>25</v>
      </c>
      <c r="C29" s="8" t="str">
        <f>IFERROR(VLOOKUP(B29,ListasPrecios[#All],2,FALSE),"")</f>
        <v>Top Olivia</v>
      </c>
      <c r="D29" s="8">
        <f>IFERROR(VLOOKUP(B29,ListasPrecios[#All],3,FALSE),"")</f>
        <v>9</v>
      </c>
      <c r="E29" s="8" t="str">
        <f>IFERROR(VLOOKUP(B29,ListasPrecios[#All],5,FALSE),"")</f>
        <v>Probst Vane</v>
      </c>
      <c r="F29" s="8">
        <v>4</v>
      </c>
      <c r="G29" s="53">
        <v>44693</v>
      </c>
      <c r="H29" s="8">
        <f>IFERROR(Entrada[[#This Row],[Precio (S)]]*Entrada[[#This Row],[Cantidad]],"")</f>
        <v>36</v>
      </c>
    </row>
    <row r="30" spans="2:8" x14ac:dyDescent="0.25">
      <c r="B30" s="8" t="s">
        <v>24</v>
      </c>
      <c r="C30" s="8" t="str">
        <f>IFERROR(VLOOKUP(B30,ListasPrecios[#All],2,FALSE),"")</f>
        <v>Top Isabella</v>
      </c>
      <c r="D30" s="8">
        <f>IFERROR(VLOOKUP(B30,ListasPrecios[#All],3,FALSE),"")</f>
        <v>9</v>
      </c>
      <c r="E30" s="8" t="str">
        <f>IFERROR(VLOOKUP(B30,ListasPrecios[#All],5,FALSE),"")</f>
        <v>Probst Vane</v>
      </c>
      <c r="F30" s="8">
        <v>8</v>
      </c>
      <c r="G30" s="53">
        <v>44693</v>
      </c>
      <c r="H30" s="8">
        <f>IFERROR(Entrada[[#This Row],[Precio (S)]]*Entrada[[#This Row],[Cantidad]],"")</f>
        <v>72</v>
      </c>
    </row>
    <row r="31" spans="2:8" x14ac:dyDescent="0.25">
      <c r="B31" s="8" t="s">
        <v>28</v>
      </c>
      <c r="C31" s="8" t="str">
        <f>IFERROR(VLOOKUP(B31,ListasPrecios[#All],2,FALSE),"")</f>
        <v>Top Charlotte</v>
      </c>
      <c r="D31" s="8">
        <f>IFERROR(VLOOKUP(B31,ListasPrecios[#All],3,FALSE),"")</f>
        <v>9</v>
      </c>
      <c r="E31" s="8" t="str">
        <f>IFERROR(VLOOKUP(B31,ListasPrecios[#All],5,FALSE),"")</f>
        <v>Probst Vane</v>
      </c>
      <c r="F31" s="8">
        <v>5</v>
      </c>
      <c r="G31" s="53">
        <v>44693</v>
      </c>
      <c r="H31" s="8">
        <f>IFERROR(Entrada[[#This Row],[Precio (S)]]*Entrada[[#This Row],[Cantidad]],"")</f>
        <v>45</v>
      </c>
    </row>
    <row r="32" spans="2:8" x14ac:dyDescent="0.25">
      <c r="B32" s="8" t="s">
        <v>52</v>
      </c>
      <c r="C32" s="8" t="str">
        <f>IFERROR(VLOOKUP(B32,ListasPrecios[#All],2,FALSE),"")</f>
        <v>Bividí cuello alto</v>
      </c>
      <c r="D32" s="8">
        <f>IFERROR(VLOOKUP(B32,ListasPrecios[#All],3,FALSE),"")</f>
        <v>9.5</v>
      </c>
      <c r="E32" s="8" t="str">
        <f>IFERROR(VLOOKUP(B32,ListasPrecios[#All],5,FALSE),"")</f>
        <v>Probst Jfer</v>
      </c>
      <c r="F32" s="8">
        <v>5</v>
      </c>
      <c r="G32" s="53">
        <v>44693</v>
      </c>
      <c r="H32" s="8">
        <f>IFERROR(Entrada[[#This Row],[Precio (S)]]*Entrada[[#This Row],[Cantidad]],"")</f>
        <v>47.5</v>
      </c>
    </row>
    <row r="33" spans="2:8" x14ac:dyDescent="0.25">
      <c r="B33" s="8" t="s">
        <v>52</v>
      </c>
      <c r="C33" s="8" t="str">
        <f>IFERROR(VLOOKUP(B33,ListasPrecios[#All],2,FALSE),"")</f>
        <v>Bividí cuello alto</v>
      </c>
      <c r="D33" s="8">
        <f>IFERROR(VLOOKUP(B33,ListasPrecios[#All],3,FALSE),"")</f>
        <v>9.5</v>
      </c>
      <c r="E33" s="8" t="str">
        <f>IFERROR(VLOOKUP(B33,ListasPrecios[#All],5,FALSE),"")</f>
        <v>Probst Jfer</v>
      </c>
      <c r="F33" s="8">
        <v>5</v>
      </c>
      <c r="G33" s="53">
        <v>44663</v>
      </c>
      <c r="H33" s="8">
        <f>IFERROR(Entrada[[#This Row],[Precio (S)]]*Entrada[[#This Row],[Cantidad]],"")</f>
        <v>47.5</v>
      </c>
    </row>
    <row r="34" spans="2:8" x14ac:dyDescent="0.25">
      <c r="B34" s="8" t="s">
        <v>52</v>
      </c>
      <c r="C34" s="8" t="str">
        <f>IFERROR(VLOOKUP(B34,ListasPrecios[#All],2,FALSE),"")</f>
        <v>Bividí cuello alto</v>
      </c>
      <c r="D34" s="8">
        <f>IFERROR(VLOOKUP(B34,ListasPrecios[#All],3,FALSE),"")</f>
        <v>9.5</v>
      </c>
      <c r="E34" s="8" t="str">
        <f>IFERROR(VLOOKUP(B34,ListasPrecios[#All],5,FALSE),"")</f>
        <v>Probst Jfer</v>
      </c>
      <c r="F34" s="8">
        <v>5</v>
      </c>
      <c r="G34" s="53">
        <v>44663</v>
      </c>
      <c r="H34" s="8">
        <f>IFERROR(Entrada[[#This Row],[Precio (S)]]*Entrada[[#This Row],[Cantidad]],"")</f>
        <v>47.5</v>
      </c>
    </row>
    <row r="35" spans="2:8" x14ac:dyDescent="0.25">
      <c r="B35" s="8" t="s">
        <v>28</v>
      </c>
      <c r="C35" s="8" t="str">
        <f>IFERROR(VLOOKUP(B35,ListasPrecios[#All],2,FALSE),"")</f>
        <v>Top Charlotte</v>
      </c>
      <c r="D35" s="8">
        <f>IFERROR(VLOOKUP(B35,ListasPrecios[#All],3,FALSE),"")</f>
        <v>9</v>
      </c>
      <c r="E35" s="8" t="str">
        <f>IFERROR(VLOOKUP(B35,ListasPrecios[#All],5,FALSE),"")</f>
        <v>Probst Vane</v>
      </c>
      <c r="F35" s="8">
        <v>5</v>
      </c>
      <c r="G35" s="53">
        <v>44663</v>
      </c>
      <c r="H35" s="8">
        <f>IFERROR(Entrada[[#This Row],[Precio (S)]]*Entrada[[#This Row],[Cantidad]],"")</f>
        <v>45</v>
      </c>
    </row>
    <row r="36" spans="2:8" x14ac:dyDescent="0.25">
      <c r="B36" s="8" t="s">
        <v>20</v>
      </c>
      <c r="C36" s="8" t="str">
        <f>IFERROR(VLOOKUP(B36,ListasPrecios[#All],2,FALSE),"")</f>
        <v>Leggings no brillantes</v>
      </c>
      <c r="D36" s="8">
        <f>IFERROR(VLOOKUP(B36,ListasPrecios[#All],3,FALSE),"")</f>
        <v>15.5</v>
      </c>
      <c r="E36" s="8" t="str">
        <f>IFERROR(VLOOKUP(B36,ListasPrecios[#All],5,FALSE),"")</f>
        <v>Probst Vane</v>
      </c>
      <c r="F36" s="8">
        <v>5</v>
      </c>
      <c r="G36" s="53">
        <v>44663</v>
      </c>
      <c r="H36" s="8">
        <f>IFERROR(Entrada[[#This Row],[Precio (S)]]*Entrada[[#This Row],[Cantidad]],"")</f>
        <v>77.5</v>
      </c>
    </row>
    <row r="37" spans="2:8" x14ac:dyDescent="0.25">
      <c r="B37" s="8" t="s">
        <v>25</v>
      </c>
      <c r="C37" s="8" t="str">
        <f>IFERROR(VLOOKUP(B37,ListasPrecios[#All],2,FALSE),"")</f>
        <v>Top Olivia</v>
      </c>
      <c r="D37" s="8">
        <f>IFERROR(VLOOKUP(B37,ListasPrecios[#All],3,FALSE),"")</f>
        <v>9</v>
      </c>
      <c r="E37" s="8" t="str">
        <f>IFERROR(VLOOKUP(B37,ListasPrecios[#All],5,FALSE),"")</f>
        <v>Probst Vane</v>
      </c>
      <c r="F37" s="8">
        <v>5</v>
      </c>
      <c r="G37" s="53">
        <v>44663</v>
      </c>
      <c r="H37" s="8">
        <f>IFERROR(Entrada[[#This Row],[Precio (S)]]*Entrada[[#This Row],[Cantidad]],"")</f>
        <v>45</v>
      </c>
    </row>
    <row r="38" spans="2:8" x14ac:dyDescent="0.25">
      <c r="B38" s="8" t="s">
        <v>22</v>
      </c>
      <c r="C38" s="8" t="str">
        <f>IFERROR(VLOOKUP(B38,ListasPrecios[#All],2,FALSE),"")</f>
        <v xml:space="preserve">Shorts </v>
      </c>
      <c r="D38" s="8">
        <f>IFERROR(VLOOKUP(B38,ListasPrecios[#All],3,FALSE),"")</f>
        <v>11.5</v>
      </c>
      <c r="E38" s="8" t="str">
        <f>IFERROR(VLOOKUP(B38,ListasPrecios[#All],5,FALSE),"")</f>
        <v>Probst Vane</v>
      </c>
      <c r="F38" s="8">
        <v>4</v>
      </c>
      <c r="G38" s="53">
        <v>44663</v>
      </c>
      <c r="H38" s="8">
        <f>IFERROR(Entrada[[#This Row],[Precio (S)]]*Entrada[[#This Row],[Cantidad]],"")</f>
        <v>46</v>
      </c>
    </row>
    <row r="39" spans="2:8" x14ac:dyDescent="0.25">
      <c r="B39" s="8" t="s">
        <v>21</v>
      </c>
      <c r="C39" s="8" t="str">
        <f>IFERROR(VLOOKUP(B39,ListasPrecios[#All],2,FALSE),"")</f>
        <v>Leggings brillantes</v>
      </c>
      <c r="D39" s="8">
        <f>IFERROR(VLOOKUP(B39,ListasPrecios[#All],3,FALSE),"")</f>
        <v>16</v>
      </c>
      <c r="E39" s="8" t="str">
        <f>IFERROR(VLOOKUP(B39,ListasPrecios[#All],5,FALSE),"")</f>
        <v>Probst Vane</v>
      </c>
      <c r="F39" s="8">
        <v>4</v>
      </c>
      <c r="G39" s="53">
        <v>44632</v>
      </c>
      <c r="H39" s="8">
        <f>IFERROR(Entrada[[#This Row],[Precio (S)]]*Entrada[[#This Row],[Cantidad]],"")</f>
        <v>64</v>
      </c>
    </row>
    <row r="40" spans="2:8" x14ac:dyDescent="0.25">
      <c r="B40" s="8" t="s">
        <v>20</v>
      </c>
      <c r="C40" s="8" t="str">
        <f>IFERROR(VLOOKUP(B40,ListasPrecios[#All],2,FALSE),"")</f>
        <v>Leggings no brillantes</v>
      </c>
      <c r="D40" s="8">
        <f>IFERROR(VLOOKUP(B40,ListasPrecios[#All],3,FALSE),"")</f>
        <v>15.5</v>
      </c>
      <c r="E40" s="8" t="str">
        <f>IFERROR(VLOOKUP(B40,ListasPrecios[#All],5,FALSE),"")</f>
        <v>Probst Vane</v>
      </c>
      <c r="F40" s="8">
        <v>4</v>
      </c>
      <c r="G40" s="53">
        <v>44632</v>
      </c>
      <c r="H40" s="8">
        <f>IFERROR(Entrada[[#This Row],[Precio (S)]]*Entrada[[#This Row],[Cantidad]],"")</f>
        <v>62</v>
      </c>
    </row>
    <row r="41" spans="2:8" x14ac:dyDescent="0.25">
      <c r="B41" s="8" t="s">
        <v>66</v>
      </c>
      <c r="C41" s="8" t="str">
        <f>IFERROR(VLOOKUP(B41,ListasPrecios[#All],2,FALSE),"")</f>
        <v>Guantes Boxeo Unisex</v>
      </c>
      <c r="D41" s="8">
        <f>IFERROR(VLOOKUP(B41,ListasPrecios[#All],3,FALSE),"")</f>
        <v>20</v>
      </c>
      <c r="E41" s="8" t="str">
        <f>IFERROR(VLOOKUP(B41,ListasPrecios[#All],5,FALSE),"")</f>
        <v>Probst Marg</v>
      </c>
      <c r="F41" s="8">
        <v>10</v>
      </c>
      <c r="G41" s="53">
        <v>44816</v>
      </c>
      <c r="H41" s="8">
        <f>IFERROR(Entrada[[#This Row],[Precio (S)]]*Entrada[[#This Row],[Cantidad]],"")</f>
        <v>200</v>
      </c>
    </row>
    <row r="42" spans="2:8" x14ac:dyDescent="0.25">
      <c r="B42" s="8" t="s">
        <v>61</v>
      </c>
      <c r="C42" s="8" t="str">
        <f>IFERROR(VLOOKUP(B42,ListasPrecios[#All],2,FALSE),"")</f>
        <v xml:space="preserve">Camisetas Estampadas algodón </v>
      </c>
      <c r="D42" s="8">
        <f>IFERROR(VLOOKUP(B42,ListasPrecios[#All],3,FALSE),"")</f>
        <v>9</v>
      </c>
      <c r="E42" s="8" t="str">
        <f>IFERROR(VLOOKUP(B42,ListasPrecios[#All],5,FALSE),"")</f>
        <v>Probst Dan</v>
      </c>
      <c r="F42" s="8">
        <v>9</v>
      </c>
      <c r="G42" s="53">
        <v>44877</v>
      </c>
      <c r="H42" s="8">
        <f>IFERROR(Entrada[[#This Row],[Precio (S)]]*Entrada[[#This Row],[Cantidad]],"")</f>
        <v>81</v>
      </c>
    </row>
    <row r="43" spans="2:8" x14ac:dyDescent="0.25">
      <c r="B43" s="8" t="s">
        <v>23</v>
      </c>
      <c r="C43" s="8" t="str">
        <f>IFERROR(VLOOKUP(B43,ListasPrecios[#All],2,FALSE),"")</f>
        <v>Faldas Short</v>
      </c>
      <c r="D43" s="8">
        <v>16</v>
      </c>
      <c r="E43" s="8" t="str">
        <f>IFERROR(VLOOKUP(B43,ListasPrecios[#All],5,FALSE),"")</f>
        <v>Probst Vane</v>
      </c>
      <c r="F43" s="8">
        <v>13</v>
      </c>
      <c r="G43" s="53">
        <v>44846</v>
      </c>
      <c r="H43" s="8">
        <f>IFERROR(Entrada[[#This Row],[Precio (S)]]*Entrada[[#This Row],[Cantidad]],"")</f>
        <v>208</v>
      </c>
    </row>
    <row r="44" spans="2:8" x14ac:dyDescent="0.25">
      <c r="B44" s="8" t="s">
        <v>22</v>
      </c>
      <c r="C44" s="8" t="str">
        <f>IFERROR(VLOOKUP(B44,ListasPrecios[#All],2,FALSE),"")</f>
        <v xml:space="preserve">Shorts </v>
      </c>
      <c r="D44" s="8">
        <v>16</v>
      </c>
      <c r="E44" s="8" t="str">
        <f>IFERROR(VLOOKUP(B44,ListasPrecios[#All],5,FALSE),"")</f>
        <v>Probst Vane</v>
      </c>
      <c r="F44" s="8">
        <v>12</v>
      </c>
      <c r="G44" s="53">
        <v>44786</v>
      </c>
      <c r="H44" s="8">
        <f>IFERROR(Entrada[[#This Row],[Precio (S)]]*Entrada[[#This Row],[Cantidad]],"")</f>
        <v>192</v>
      </c>
    </row>
    <row r="45" spans="2:8" x14ac:dyDescent="0.25">
      <c r="B45" s="8" t="s">
        <v>21</v>
      </c>
      <c r="C45" s="8" t="str">
        <f>IFERROR(VLOOKUP(B45,ListasPrecios[#All],2,FALSE),"")</f>
        <v>Leggings brillantes</v>
      </c>
      <c r="D45" s="8">
        <v>16</v>
      </c>
      <c r="E45" s="8" t="str">
        <f>IFERROR(VLOOKUP(B45,ListasPrecios[#All],5,FALSE),"")</f>
        <v>Probst Vane</v>
      </c>
      <c r="F45" s="8">
        <v>10</v>
      </c>
      <c r="G45" s="53">
        <v>44909</v>
      </c>
      <c r="H45" s="8">
        <f>IFERROR(Entrada[[#This Row],[Precio (S)]]*Entrada[[#This Row],[Cantidad]],"")</f>
        <v>160</v>
      </c>
    </row>
    <row r="46" spans="2:8" x14ac:dyDescent="0.25">
      <c r="B46" s="8" t="s">
        <v>20</v>
      </c>
      <c r="C46" s="8" t="str">
        <f>IFERROR(VLOOKUP(B46,ListasPrecios[#All],2,FALSE),"")</f>
        <v>Leggings no brillantes</v>
      </c>
      <c r="D46" s="8">
        <v>16</v>
      </c>
      <c r="E46" s="8" t="str">
        <f>IFERROR(VLOOKUP(B46,ListasPrecios[#All],5,FALSE),"")</f>
        <v>Probst Vane</v>
      </c>
      <c r="F46" s="8">
        <v>37</v>
      </c>
      <c r="G46" s="53">
        <v>44880</v>
      </c>
      <c r="H46" s="8">
        <f>IFERROR(Entrada[[#This Row],[Precio (S)]]*Entrada[[#This Row],[Cantidad]],"")</f>
        <v>592</v>
      </c>
    </row>
    <row r="47" spans="2:8" x14ac:dyDescent="0.25">
      <c r="B47" s="8"/>
      <c r="C47" s="8" t="str">
        <f>IFERROR(VLOOKUP(B47,ListasPrecios[#All],2,FALSE),"")</f>
        <v/>
      </c>
      <c r="D47" s="8"/>
      <c r="E47" s="8" t="str">
        <f>IFERROR(VLOOKUP(B47,ListasPrecios[#All],5,FALSE),"")</f>
        <v/>
      </c>
      <c r="F47" s="8"/>
      <c r="G47" s="8"/>
      <c r="H47" s="8">
        <f>IFERROR(Entrada[[#This Row],[Precio (S)]]*Entrada[[#This Row],[Cantidad]],"")</f>
        <v>0</v>
      </c>
    </row>
    <row r="48" spans="2:8" x14ac:dyDescent="0.25">
      <c r="B48" s="8"/>
      <c r="C48" s="8" t="str">
        <f>IFERROR(VLOOKUP(B48,ListasPrecios[#All],2,FALSE),"")</f>
        <v/>
      </c>
      <c r="D48" s="8"/>
      <c r="E48" s="8" t="str">
        <f>IFERROR(VLOOKUP(B48,ListasPrecios[#All],5,FALSE),"")</f>
        <v/>
      </c>
      <c r="F48" s="8"/>
      <c r="G48" s="8"/>
      <c r="H48" s="8">
        <f>IFERROR(Entrada[[#This Row],[Precio (S)]]*Entrada[[#This Row],[Cantidad]],"")</f>
        <v>0</v>
      </c>
    </row>
    <row r="49" spans="2:8" x14ac:dyDescent="0.25">
      <c r="B49" s="8"/>
      <c r="C49" s="8" t="str">
        <f>IFERROR(VLOOKUP(B49,ListasPrecios[#All],2,FALSE),"")</f>
        <v/>
      </c>
      <c r="D49" s="8"/>
      <c r="E49" s="8" t="str">
        <f>IFERROR(VLOOKUP(B49,ListasPrecios[#All],5,FALSE),"")</f>
        <v/>
      </c>
      <c r="F49" s="8"/>
      <c r="G49" s="8"/>
      <c r="H49" s="8">
        <f>IFERROR(Entrada[[#This Row],[Precio (S)]]*Entrada[[#This Row],[Cantidad]],"")</f>
        <v>0</v>
      </c>
    </row>
    <row r="50" spans="2:8" x14ac:dyDescent="0.25">
      <c r="B50" s="8"/>
      <c r="C50" s="8" t="str">
        <f>IFERROR(VLOOKUP(B50,ListasPrecios[#All],2,FALSE),"")</f>
        <v/>
      </c>
      <c r="D50" s="8"/>
      <c r="E50" s="8" t="str">
        <f>IFERROR(VLOOKUP(B50,ListasPrecios[#All],5,FALSE),"")</f>
        <v/>
      </c>
      <c r="F50" s="8"/>
      <c r="G50" s="8"/>
      <c r="H50" s="8">
        <f>IFERROR(Entrada[[#This Row],[Precio (S)]]*Entrada[[#This Row],[Cantidad]],"")</f>
        <v>0</v>
      </c>
    </row>
    <row r="51" spans="2:8" x14ac:dyDescent="0.25">
      <c r="B51" s="8"/>
      <c r="C51" s="8" t="str">
        <f>IFERROR(VLOOKUP(B51,ListasPrecios[#All],2,FALSE),"")</f>
        <v/>
      </c>
      <c r="D51" s="8"/>
      <c r="E51" s="8" t="str">
        <f>IFERROR(VLOOKUP(B51,ListasPrecios[#All],5,FALSE),"")</f>
        <v/>
      </c>
      <c r="F51" s="8"/>
      <c r="G51" s="8"/>
      <c r="H51" s="8">
        <f>IFERROR(Entrada[[#This Row],[Precio (S)]]*Entrada[[#This Row],[Cantidad]],"")</f>
        <v>0</v>
      </c>
    </row>
    <row r="52" spans="2:8" x14ac:dyDescent="0.25">
      <c r="B52" s="8"/>
      <c r="C52" s="8" t="str">
        <f>IFERROR(VLOOKUP(B52,ListasPrecios[#All],2,FALSE),"")</f>
        <v/>
      </c>
      <c r="D52" s="8"/>
      <c r="E52" s="8" t="str">
        <f>IFERROR(VLOOKUP(B52,ListasPrecios[#All],5,FALSE),"")</f>
        <v/>
      </c>
      <c r="F52" s="8"/>
      <c r="G52" s="8"/>
      <c r="H52" s="8">
        <f>IFERROR(Entrada[[#This Row],[Precio (S)]]*Entrada[[#This Row],[Cantidad]],"")</f>
        <v>0</v>
      </c>
    </row>
    <row r="53" spans="2:8" x14ac:dyDescent="0.25">
      <c r="B53" s="8"/>
      <c r="C53" s="8" t="str">
        <f>IFERROR(VLOOKUP(B53,ListasPrecios[#All],2,FALSE),"")</f>
        <v/>
      </c>
      <c r="D53" s="8"/>
      <c r="E53" s="8" t="str">
        <f>IFERROR(VLOOKUP(B53,ListasPrecios[#All],5,FALSE),"")</f>
        <v/>
      </c>
      <c r="F53" s="8"/>
      <c r="G53" s="8"/>
      <c r="H53" s="8">
        <f>IFERROR(Entrada[[#This Row],[Precio (S)]]*Entrada[[#This Row],[Cantidad]],"")</f>
        <v>0</v>
      </c>
    </row>
    <row r="54" spans="2:8" x14ac:dyDescent="0.25">
      <c r="B54" s="8"/>
      <c r="C54" s="8" t="str">
        <f>IFERROR(VLOOKUP(B54,ListasPrecios[#All],2,FALSE),"")</f>
        <v/>
      </c>
      <c r="D54" s="8"/>
      <c r="E54" s="8" t="str">
        <f>IFERROR(VLOOKUP(B54,ListasPrecios[#All],5,FALSE),"")</f>
        <v/>
      </c>
      <c r="F54" s="8"/>
      <c r="G54" s="8"/>
      <c r="H54" s="8">
        <f>IFERROR(Entrada[[#This Row],[Precio (S)]]*Entrada[[#This Row],[Cantidad]],"")</f>
        <v>0</v>
      </c>
    </row>
    <row r="55" spans="2:8" x14ac:dyDescent="0.25">
      <c r="B55" s="8"/>
      <c r="C55" s="8" t="str">
        <f>IFERROR(VLOOKUP(B55,ListasPrecios[#All],2,FALSE),"")</f>
        <v/>
      </c>
      <c r="D55" s="8"/>
      <c r="E55" s="8" t="str">
        <f>IFERROR(VLOOKUP(B55,ListasPrecios[#All],5,FALSE),"")</f>
        <v/>
      </c>
      <c r="F55" s="8"/>
      <c r="G55" s="8"/>
      <c r="H55" s="8">
        <f>IFERROR(Entrada[[#This Row],[Precio (S)]]*Entrada[[#This Row],[Cantidad]],"")</f>
        <v>0</v>
      </c>
    </row>
    <row r="56" spans="2:8" x14ac:dyDescent="0.25">
      <c r="B56" s="8"/>
      <c r="C56" s="8" t="str">
        <f>IFERROR(VLOOKUP(B56,ListasPrecios[#All],2,FALSE),"")</f>
        <v/>
      </c>
      <c r="D56" s="8"/>
      <c r="E56" s="8" t="str">
        <f>IFERROR(VLOOKUP(B56,ListasPrecios[#All],5,FALSE),"")</f>
        <v/>
      </c>
      <c r="F56" s="8"/>
      <c r="G56" s="8"/>
      <c r="H56" s="8">
        <f>IFERROR(Entrada[[#This Row],[Precio (S)]]*Entrada[[#This Row],[Cantidad]],"")</f>
        <v>0</v>
      </c>
    </row>
    <row r="57" spans="2:8" x14ac:dyDescent="0.25">
      <c r="B57" s="8"/>
      <c r="C57" s="8" t="str">
        <f>IFERROR(VLOOKUP(B57,ListasPrecios[#All],2,FALSE),"")</f>
        <v/>
      </c>
      <c r="D57" s="8"/>
      <c r="E57" s="8" t="str">
        <f>IFERROR(VLOOKUP(B57,ListasPrecios[#All],5,FALSE),"")</f>
        <v/>
      </c>
      <c r="F57" s="8"/>
      <c r="G57" s="8"/>
      <c r="H57" s="8">
        <f>IFERROR(Entrada[[#This Row],[Precio (S)]]*Entrada[[#This Row],[Cantidad]],"")</f>
        <v>0</v>
      </c>
    </row>
    <row r="58" spans="2:8" x14ac:dyDescent="0.25">
      <c r="B58" s="8"/>
      <c r="C58" s="8" t="str">
        <f>IFERROR(VLOOKUP(B58,ListasPrecios[#All],2,FALSE),"")</f>
        <v/>
      </c>
      <c r="D58" s="8"/>
      <c r="E58" s="8" t="str">
        <f>IFERROR(VLOOKUP(B58,ListasPrecios[#All],5,FALSE),"")</f>
        <v/>
      </c>
      <c r="F58" s="8"/>
      <c r="G58" s="8"/>
      <c r="H58" s="8">
        <f>IFERROR(Entrada[[#This Row],[Precio (S)]]*Entrada[[#This Row],[Cantidad]],"")</f>
        <v>0</v>
      </c>
    </row>
    <row r="59" spans="2:8" x14ac:dyDescent="0.25">
      <c r="B59" s="8"/>
      <c r="C59" s="8" t="str">
        <f>IFERROR(VLOOKUP(B59,ListasPrecios[#All],2,FALSE),"")</f>
        <v/>
      </c>
      <c r="D59" s="8"/>
      <c r="E59" s="8" t="str">
        <f>IFERROR(VLOOKUP(B59,ListasPrecios[#All],5,FALSE),"")</f>
        <v/>
      </c>
      <c r="F59" s="8"/>
      <c r="G59" s="8"/>
      <c r="H59" s="8">
        <f>IFERROR(Entrada[[#This Row],[Precio (S)]]*Entrada[[#This Row],[Cantidad]],"")</f>
        <v>0</v>
      </c>
    </row>
    <row r="60" spans="2:8" x14ac:dyDescent="0.25">
      <c r="B60" s="8"/>
      <c r="C60" s="8" t="str">
        <f>IFERROR(VLOOKUP(B60,ListasPrecios[#All],2,FALSE),"")</f>
        <v/>
      </c>
      <c r="D60" s="8"/>
      <c r="E60" s="8" t="str">
        <f>IFERROR(VLOOKUP(B60,ListasPrecios[#All],5,FALSE),"")</f>
        <v/>
      </c>
      <c r="F60" s="8"/>
      <c r="G60" s="8"/>
      <c r="H60" s="8">
        <f>IFERROR(Entrada[[#This Row],[Precio (S)]]*Entrada[[#This Row],[Cantidad]],"")</f>
        <v>0</v>
      </c>
    </row>
    <row r="61" spans="2:8" x14ac:dyDescent="0.25">
      <c r="B61" s="8"/>
      <c r="C61" s="8" t="str">
        <f>IFERROR(VLOOKUP(B61,ListasPrecios[#All],2,FALSE),"")</f>
        <v/>
      </c>
      <c r="D61" s="8"/>
      <c r="E61" s="8" t="str">
        <f>IFERROR(VLOOKUP(B61,ListasPrecios[#All],5,FALSE),"")</f>
        <v/>
      </c>
      <c r="F61" s="8"/>
      <c r="G61" s="8"/>
      <c r="H61" s="8">
        <f>IFERROR(Entrada[[#This Row],[Precio (S)]]*Entrada[[#This Row],[Cantidad]],"")</f>
        <v>0</v>
      </c>
    </row>
    <row r="62" spans="2:8" x14ac:dyDescent="0.25">
      <c r="B62" s="8"/>
      <c r="C62" s="8" t="str">
        <f>IFERROR(VLOOKUP(B62,ListasPrecios[#All],2,FALSE),"")</f>
        <v/>
      </c>
      <c r="D62" s="8"/>
      <c r="E62" s="8" t="str">
        <f>IFERROR(VLOOKUP(B62,ListasPrecios[#All],5,FALSE),"")</f>
        <v/>
      </c>
      <c r="F62" s="8"/>
      <c r="G62" s="8"/>
      <c r="H62" s="8">
        <f>IFERROR(Entrada[[#This Row],[Precio (S)]]*Entrada[[#This Row],[Cantidad]],"")</f>
        <v>0</v>
      </c>
    </row>
    <row r="63" spans="2:8" x14ac:dyDescent="0.25">
      <c r="B63" s="13"/>
      <c r="C63" s="8" t="str">
        <f>IFERROR(VLOOKUP(B63,ListasPrecios[#All],2,FALSE),"")</f>
        <v/>
      </c>
      <c r="D63" s="8"/>
      <c r="E63" s="8" t="str">
        <f>IFERROR(VLOOKUP(B63,ListasPrecios[#All],5,FALSE),"")</f>
        <v/>
      </c>
      <c r="F63" s="14"/>
      <c r="G63" s="14"/>
      <c r="H63" s="8">
        <f>IFERROR(Entrada[[#This Row],[Precio (S)]]*Entrada[[#This Row],[Cantidad]],"")</f>
        <v>0</v>
      </c>
    </row>
    <row r="64" spans="2:8" x14ac:dyDescent="0.25">
      <c r="B64" s="13"/>
      <c r="C64" s="8" t="str">
        <f>IFERROR(VLOOKUP(B64,ListasPrecios[#All],2,FALSE),"")</f>
        <v/>
      </c>
      <c r="D64" s="8"/>
      <c r="E64" s="8" t="str">
        <f>IFERROR(VLOOKUP(B64,ListasPrecios[#All],5,FALSE),"")</f>
        <v/>
      </c>
      <c r="F64" s="14"/>
      <c r="G64" s="14"/>
      <c r="H64" s="8">
        <f>IFERROR(Entrada[[#This Row],[Precio (S)]]*Entrada[[#This Row],[Cantidad]],"")</f>
        <v>0</v>
      </c>
    </row>
    <row r="65" spans="2:8" x14ac:dyDescent="0.25">
      <c r="B65" s="13"/>
      <c r="C65" s="8" t="str">
        <f>IFERROR(VLOOKUP(B65,ListasPrecios[#All],2,FALSE),"")</f>
        <v/>
      </c>
      <c r="D65" s="8"/>
      <c r="E65" s="8" t="str">
        <f>IFERROR(VLOOKUP(B65,ListasPrecios[#All],5,FALSE),"")</f>
        <v/>
      </c>
      <c r="F65" s="14"/>
      <c r="G65" s="14"/>
      <c r="H65" s="8">
        <f>IFERROR(Entrada[[#This Row],[Precio (S)]]*Entrada[[#This Row],[Cantidad]],"")</f>
        <v>0</v>
      </c>
    </row>
    <row r="66" spans="2:8" x14ac:dyDescent="0.25">
      <c r="B66" s="13"/>
      <c r="C66" s="8" t="str">
        <f>IFERROR(VLOOKUP(B66,ListasPrecios[#All],2,FALSE),"")</f>
        <v/>
      </c>
      <c r="D66" s="8"/>
      <c r="E66" s="8" t="str">
        <f>IFERROR(VLOOKUP(B66,ListasPrecios[#All],5,FALSE),"")</f>
        <v/>
      </c>
      <c r="F66" s="14"/>
      <c r="G66" s="14"/>
      <c r="H66" s="8">
        <f>IFERROR(Entrada[[#This Row],[Precio (S)]]*Entrada[[#This Row],[Cantidad]],"")</f>
        <v>0</v>
      </c>
    </row>
    <row r="67" spans="2:8" x14ac:dyDescent="0.25">
      <c r="B67" s="13"/>
      <c r="C67" s="8" t="str">
        <f>IFERROR(VLOOKUP(B67,ListasPrecios[#All],2,FALSE),"")</f>
        <v/>
      </c>
      <c r="D67" s="8"/>
      <c r="E67" s="8" t="str">
        <f>IFERROR(VLOOKUP(B67,ListasPrecios[#All],5,FALSE),"")</f>
        <v/>
      </c>
      <c r="F67" s="14"/>
      <c r="G67" s="14"/>
      <c r="H67" s="8">
        <f>IFERROR(Entrada[[#This Row],[Precio (S)]]*Entrada[[#This Row],[Cantidad]],"")</f>
        <v>0</v>
      </c>
    </row>
    <row r="68" spans="2:8" x14ac:dyDescent="0.25">
      <c r="B68" s="12"/>
      <c r="C68" s="18" t="str">
        <f>IFERROR(VLOOKUP(B68,ListasPrecios[#All],2,FALSE),"")</f>
        <v/>
      </c>
      <c r="D68" s="18"/>
      <c r="E68" s="18" t="str">
        <f>IFERROR(VLOOKUP(B68,ListasPrecios[#All],5,FALSE),"")</f>
        <v/>
      </c>
      <c r="F68" s="11"/>
      <c r="G68" s="11"/>
      <c r="H68" s="11">
        <f>IFERROR(Entrada[[#This Row],[Precio (S)]]*Entrada[[#This Row],[Cantidad]],"")</f>
        <v>0</v>
      </c>
    </row>
    <row r="69" spans="2:8" x14ac:dyDescent="0.25">
      <c r="B69" s="8"/>
      <c r="C69" s="8"/>
      <c r="D69" s="8"/>
      <c r="E69" s="8"/>
    </row>
    <row r="70" spans="2:8" x14ac:dyDescent="0.25">
      <c r="B70" s="8"/>
      <c r="C70" s="8"/>
      <c r="D70" s="8"/>
      <c r="E70" s="8"/>
    </row>
    <row r="71" spans="2:8" x14ac:dyDescent="0.25">
      <c r="B71" s="8"/>
      <c r="C71" s="8"/>
      <c r="D71" s="8"/>
      <c r="E71" s="8"/>
    </row>
    <row r="72" spans="2:8" x14ac:dyDescent="0.25">
      <c r="B72" s="8"/>
      <c r="C72" s="8"/>
      <c r="D72" s="8"/>
      <c r="E72" s="8"/>
    </row>
    <row r="73" spans="2:8" x14ac:dyDescent="0.25">
      <c r="B73" s="8"/>
      <c r="C73" s="8"/>
      <c r="D73" s="8"/>
      <c r="E73" s="8"/>
    </row>
    <row r="74" spans="2:8" x14ac:dyDescent="0.25">
      <c r="B74" s="8"/>
      <c r="C74" s="8"/>
      <c r="D74" s="8"/>
      <c r="E74" s="8"/>
    </row>
    <row r="75" spans="2:8" x14ac:dyDescent="0.25">
      <c r="B75" s="8"/>
      <c r="C75" s="8"/>
      <c r="D75" s="8"/>
      <c r="E75" s="8"/>
    </row>
    <row r="76" spans="2:8" x14ac:dyDescent="0.25">
      <c r="B76" s="8"/>
      <c r="C76" s="8"/>
      <c r="D76" s="8"/>
      <c r="E76" s="8"/>
    </row>
    <row r="77" spans="2:8" x14ac:dyDescent="0.25">
      <c r="B77" s="8"/>
      <c r="C77" s="8"/>
      <c r="D77" s="8"/>
      <c r="E77" s="8"/>
    </row>
    <row r="78" spans="2:8" x14ac:dyDescent="0.25">
      <c r="B78" s="8"/>
      <c r="C78" s="8"/>
      <c r="D78" s="8"/>
      <c r="E78" s="8"/>
    </row>
    <row r="79" spans="2:8" x14ac:dyDescent="0.25">
      <c r="B79" s="8"/>
      <c r="C79" s="8"/>
      <c r="D79" s="8"/>
      <c r="E79" s="8"/>
    </row>
    <row r="80" spans="2:8" x14ac:dyDescent="0.25">
      <c r="B80" s="8"/>
      <c r="C80" s="8"/>
      <c r="D80" s="8"/>
      <c r="E80" s="8"/>
    </row>
    <row r="81" spans="2:5" x14ac:dyDescent="0.25">
      <c r="B81" s="8"/>
      <c r="C81" s="8"/>
      <c r="D81" s="8"/>
      <c r="E81" s="8"/>
    </row>
    <row r="82" spans="2:5" x14ac:dyDescent="0.25">
      <c r="B82" s="8"/>
      <c r="C82" s="8"/>
      <c r="D82" s="8"/>
      <c r="E82" s="8"/>
    </row>
    <row r="83" spans="2:5" x14ac:dyDescent="0.25">
      <c r="B83" s="8"/>
      <c r="C83" s="8"/>
      <c r="D83" s="8"/>
      <c r="E83" s="8"/>
    </row>
    <row r="84" spans="2:5" x14ac:dyDescent="0.25">
      <c r="B84" s="8"/>
      <c r="C84" s="8"/>
      <c r="D84" s="8"/>
      <c r="E84" s="8"/>
    </row>
    <row r="85" spans="2:5" x14ac:dyDescent="0.25">
      <c r="B85" s="8"/>
      <c r="C85" s="8"/>
      <c r="D85" s="8"/>
      <c r="E85" s="8"/>
    </row>
    <row r="86" spans="2:5" x14ac:dyDescent="0.25">
      <c r="B86" s="8"/>
      <c r="C86" s="8"/>
      <c r="D86" s="8"/>
      <c r="E86" s="8"/>
    </row>
    <row r="87" spans="2:5" x14ac:dyDescent="0.25">
      <c r="B87" s="8"/>
      <c r="C87" s="8"/>
      <c r="D87" s="8"/>
      <c r="E87" s="8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8B527F5-0EFB-4D6B-820A-AD6284A3242F}">
          <x14:formula1>
            <xm:f>'Listas validadas'!$A$5:$A$24</xm:f>
          </x14:formula1>
          <xm:sqref>F50:F60</xm:sqref>
        </x14:dataValidation>
        <x14:dataValidation type="list" allowBlank="1" showInputMessage="1" showErrorMessage="1" xr:uid="{826C8AE9-928B-4D5C-845F-F8D0017293CF}">
          <x14:formula1>
            <xm:f>'Lista de Productos'!$B$6:$B$36</xm:f>
          </x14:formula1>
          <xm:sqref>C6 B16:B60</xm:sqref>
        </x14:dataValidation>
        <x14:dataValidation type="list" allowBlank="1" showInputMessage="1" showErrorMessage="1" xr:uid="{F144796E-004D-42D2-9322-036F07F80952}">
          <x14:formula1>
            <xm:f>'Listas validadas'!$A$5:$A$54</xm:f>
          </x14:formula1>
          <xm:sqref>C10 F16:F49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DF473-9FE8-4390-8961-ED1717E1EC04}">
  <sheetPr codeName="Hoja4">
    <tabColor theme="4"/>
  </sheetPr>
  <dimension ref="C8:F26"/>
  <sheetViews>
    <sheetView workbookViewId="0">
      <selection activeCell="D8" sqref="D8"/>
    </sheetView>
  </sheetViews>
  <sheetFormatPr baseColWidth="10" defaultRowHeight="15" x14ac:dyDescent="0.25"/>
  <cols>
    <col min="1" max="1" width="5.5703125" customWidth="1"/>
    <col min="3" max="3" width="33.140625" customWidth="1"/>
    <col min="4" max="4" width="28.28515625" customWidth="1"/>
  </cols>
  <sheetData>
    <row r="8" spans="3:4" ht="18.75" x14ac:dyDescent="0.3">
      <c r="C8" s="9" t="s">
        <v>104</v>
      </c>
      <c r="D8" s="59" t="s">
        <v>130</v>
      </c>
    </row>
    <row r="9" spans="3:4" ht="18.75" x14ac:dyDescent="0.3">
      <c r="C9" s="9" t="s">
        <v>105</v>
      </c>
      <c r="D9" s="59">
        <v>80</v>
      </c>
    </row>
    <row r="10" spans="3:4" ht="18.75" x14ac:dyDescent="0.3">
      <c r="C10" s="9" t="s">
        <v>95</v>
      </c>
      <c r="D10" s="60">
        <v>44816</v>
      </c>
    </row>
    <row r="19" spans="3:6" ht="18.75" x14ac:dyDescent="0.3">
      <c r="C19" s="15" t="s">
        <v>104</v>
      </c>
      <c r="D19" s="16" t="s">
        <v>106</v>
      </c>
      <c r="E19" s="16" t="s">
        <v>95</v>
      </c>
      <c r="F19" s="16" t="s">
        <v>96</v>
      </c>
    </row>
    <row r="20" spans="3:6" x14ac:dyDescent="0.25">
      <c r="C20" s="59" t="s">
        <v>130</v>
      </c>
      <c r="D20" s="59">
        <v>80</v>
      </c>
      <c r="E20" s="60">
        <v>44816</v>
      </c>
      <c r="F20">
        <f>GastosFijos[[#This Row],[Costo (S/)]]</f>
        <v>80</v>
      </c>
    </row>
    <row r="21" spans="3:6" x14ac:dyDescent="0.25">
      <c r="C21" s="59" t="s">
        <v>130</v>
      </c>
      <c r="D21" s="59">
        <v>80</v>
      </c>
      <c r="E21" s="60">
        <v>44816</v>
      </c>
      <c r="F21">
        <f>GastosFijos[[#This Row],[Costo (S/)]]</f>
        <v>80</v>
      </c>
    </row>
    <row r="22" spans="3:6" x14ac:dyDescent="0.25">
      <c r="C22" s="59" t="s">
        <v>110</v>
      </c>
      <c r="D22" s="59">
        <v>80</v>
      </c>
      <c r="E22" s="60">
        <v>44632</v>
      </c>
      <c r="F22">
        <f>GastosFijos[[#This Row],[Costo (S/)]]</f>
        <v>80</v>
      </c>
    </row>
    <row r="23" spans="3:6" x14ac:dyDescent="0.25">
      <c r="C23" s="59" t="s">
        <v>109</v>
      </c>
      <c r="D23" s="59">
        <v>80</v>
      </c>
      <c r="E23" s="60">
        <v>44632</v>
      </c>
      <c r="F23">
        <f>GastosFijos[[#This Row],[Costo (S/)]]</f>
        <v>80</v>
      </c>
    </row>
    <row r="24" spans="3:6" x14ac:dyDescent="0.25">
      <c r="C24" s="59" t="s">
        <v>108</v>
      </c>
      <c r="D24" s="59">
        <v>300</v>
      </c>
      <c r="E24" s="60">
        <v>44604</v>
      </c>
      <c r="F24">
        <f>GastosFijos[[#This Row],[Costo (S/)]]</f>
        <v>300</v>
      </c>
    </row>
    <row r="25" spans="3:6" x14ac:dyDescent="0.25">
      <c r="C25" s="61" t="s">
        <v>107</v>
      </c>
      <c r="D25" s="59">
        <v>345</v>
      </c>
      <c r="E25" s="60">
        <v>44604</v>
      </c>
      <c r="F25">
        <f>GastosFijos[[#This Row],[Costo (S/)]]</f>
        <v>345</v>
      </c>
    </row>
    <row r="26" spans="3:6" x14ac:dyDescent="0.25">
      <c r="C26" s="64" t="s">
        <v>108</v>
      </c>
      <c r="D26" s="62">
        <v>600</v>
      </c>
      <c r="E26" s="63">
        <v>44781</v>
      </c>
      <c r="F26">
        <f>GastosFijos[[#This Row],[Costo (S/)]]</f>
        <v>600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3472-6EAE-41E2-BCFF-361C2F36014B}">
  <sheetPr codeName="Hoja5">
    <tabColor theme="4"/>
  </sheetPr>
  <dimension ref="B6:H79"/>
  <sheetViews>
    <sheetView topLeftCell="A25" workbookViewId="0">
      <selection activeCell="C47" sqref="C47"/>
    </sheetView>
  </sheetViews>
  <sheetFormatPr baseColWidth="10" defaultRowHeight="15" x14ac:dyDescent="0.25"/>
  <cols>
    <col min="2" max="2" width="22.5703125" bestFit="1" customWidth="1"/>
    <col min="3" max="3" width="30.7109375" customWidth="1"/>
    <col min="4" max="4" width="14.5703125" customWidth="1"/>
    <col min="5" max="5" width="13" customWidth="1"/>
    <col min="6" max="6" width="14" customWidth="1"/>
    <col min="7" max="7" width="13" customWidth="1"/>
    <col min="8" max="8" width="15.28515625" customWidth="1"/>
  </cols>
  <sheetData>
    <row r="6" spans="2:8" ht="18.75" x14ac:dyDescent="0.3">
      <c r="B6" s="9" t="s">
        <v>2</v>
      </c>
      <c r="C6" s="8" t="s">
        <v>59</v>
      </c>
    </row>
    <row r="7" spans="2:8" ht="18.75" x14ac:dyDescent="0.3">
      <c r="B7" s="9" t="s">
        <v>5</v>
      </c>
      <c r="C7" s="8" t="str">
        <f>IFERROR(VLOOKUP(C6,ListasPrecios[#All],2,FALSE),"")</f>
        <v>Pantalonetas Sublimadas</v>
      </c>
    </row>
    <row r="8" spans="2:8" ht="18.75" x14ac:dyDescent="0.3">
      <c r="B8" s="9" t="s">
        <v>3</v>
      </c>
      <c r="C8" s="8">
        <f>IFERROR(VLOOKUP(C6,ListasPrecios[#All],4,FALSE),"")</f>
        <v>30</v>
      </c>
    </row>
    <row r="9" spans="2:8" ht="18.75" x14ac:dyDescent="0.3">
      <c r="B9" s="9" t="s">
        <v>1</v>
      </c>
      <c r="C9" s="8" t="str">
        <f>IFERROR(VLOOKUP(C6,ListasPrecios[#All],5,FALSE),"")</f>
        <v>Probst Jfer</v>
      </c>
    </row>
    <row r="10" spans="2:8" ht="18.75" x14ac:dyDescent="0.3">
      <c r="B10" s="9" t="s">
        <v>4</v>
      </c>
      <c r="C10" s="8">
        <v>10</v>
      </c>
    </row>
    <row r="11" spans="2:8" ht="18.75" x14ac:dyDescent="0.3">
      <c r="B11" s="52" t="s">
        <v>95</v>
      </c>
      <c r="C11" s="53">
        <v>44908</v>
      </c>
    </row>
    <row r="15" spans="2:8" ht="18.75" x14ac:dyDescent="0.3">
      <c r="B15" s="19" t="s">
        <v>2</v>
      </c>
      <c r="C15" s="20" t="s">
        <v>0</v>
      </c>
      <c r="D15" s="20" t="s">
        <v>3</v>
      </c>
      <c r="E15" s="20" t="s">
        <v>1</v>
      </c>
      <c r="F15" s="20" t="s">
        <v>4</v>
      </c>
      <c r="G15" s="20" t="s">
        <v>78</v>
      </c>
      <c r="H15" s="56" t="s">
        <v>96</v>
      </c>
    </row>
    <row r="16" spans="2:8" x14ac:dyDescent="0.25">
      <c r="B16" s="8" t="s">
        <v>59</v>
      </c>
      <c r="C16" s="8" t="s">
        <v>42</v>
      </c>
      <c r="D16" s="8">
        <v>30</v>
      </c>
      <c r="E16" s="8" t="s">
        <v>70</v>
      </c>
      <c r="F16" s="8">
        <v>10</v>
      </c>
      <c r="G16" s="53">
        <v>44908</v>
      </c>
      <c r="H16" s="8">
        <f>IFERROR(Salida[[#This Row],[Precio (S)]]*Salida[[#This Row],[Cantidad]],"")</f>
        <v>300</v>
      </c>
    </row>
    <row r="17" spans="2:8" x14ac:dyDescent="0.25">
      <c r="B17" s="8" t="s">
        <v>55</v>
      </c>
      <c r="C17" s="8" t="s">
        <v>38</v>
      </c>
      <c r="D17" s="8">
        <v>27</v>
      </c>
      <c r="E17" s="8" t="s">
        <v>70</v>
      </c>
      <c r="F17" s="8">
        <v>11</v>
      </c>
      <c r="G17" s="53">
        <v>44908</v>
      </c>
      <c r="H17" s="8">
        <f>IFERROR(Salida[[#This Row],[Precio (S)]]*Salida[[#This Row],[Cantidad]],"")</f>
        <v>297</v>
      </c>
    </row>
    <row r="18" spans="2:8" x14ac:dyDescent="0.25">
      <c r="B18" s="8" t="s">
        <v>62</v>
      </c>
      <c r="C18" s="8" t="s">
        <v>43</v>
      </c>
      <c r="D18" s="8">
        <v>24</v>
      </c>
      <c r="E18" s="8" t="s">
        <v>71</v>
      </c>
      <c r="F18" s="8">
        <v>11</v>
      </c>
      <c r="G18" s="53">
        <v>44878</v>
      </c>
      <c r="H18" s="8">
        <f>IFERROR(Salida[[#This Row],[Precio (S)]]*Salida[[#This Row],[Cantidad]],"")</f>
        <v>264</v>
      </c>
    </row>
    <row r="19" spans="2:8" x14ac:dyDescent="0.25">
      <c r="B19" s="8" t="s">
        <v>56</v>
      </c>
      <c r="C19" s="8" t="s">
        <v>39</v>
      </c>
      <c r="D19" s="8">
        <v>40</v>
      </c>
      <c r="E19" s="8" t="s">
        <v>70</v>
      </c>
      <c r="F19" s="8">
        <v>11</v>
      </c>
      <c r="G19" s="53">
        <v>44755</v>
      </c>
      <c r="H19" s="8">
        <f>IFERROR(Salida[[#This Row],[Precio (S)]]*Salida[[#This Row],[Cantidad]],"")</f>
        <v>440</v>
      </c>
    </row>
    <row r="20" spans="2:8" x14ac:dyDescent="0.25">
      <c r="B20" s="8" t="s">
        <v>60</v>
      </c>
      <c r="C20" s="8" t="s">
        <v>47</v>
      </c>
      <c r="D20" s="8">
        <v>22</v>
      </c>
      <c r="E20" s="8" t="s">
        <v>70</v>
      </c>
      <c r="F20" s="8">
        <v>11</v>
      </c>
      <c r="G20" s="53">
        <v>44605</v>
      </c>
      <c r="H20" s="8">
        <f>IFERROR(Salida[[#This Row],[Precio (S)]]*Salida[[#This Row],[Cantidad]],"")</f>
        <v>242</v>
      </c>
    </row>
    <row r="21" spans="2:8" x14ac:dyDescent="0.25">
      <c r="B21" s="8" t="s">
        <v>60</v>
      </c>
      <c r="C21" s="8" t="s">
        <v>47</v>
      </c>
      <c r="D21" s="8">
        <v>22</v>
      </c>
      <c r="E21" s="8" t="s">
        <v>70</v>
      </c>
      <c r="F21" s="8">
        <v>11</v>
      </c>
      <c r="G21" s="53">
        <v>44605</v>
      </c>
      <c r="H21" s="8">
        <f>IFERROR(Salida[[#This Row],[Precio (S)]]*Salida[[#This Row],[Cantidad]],"")</f>
        <v>242</v>
      </c>
    </row>
    <row r="22" spans="2:8" x14ac:dyDescent="0.25">
      <c r="B22" s="8" t="s">
        <v>59</v>
      </c>
      <c r="C22" s="8" t="s">
        <v>42</v>
      </c>
      <c r="D22" s="8">
        <v>30</v>
      </c>
      <c r="E22" s="8" t="s">
        <v>70</v>
      </c>
      <c r="F22" s="8">
        <v>11</v>
      </c>
      <c r="G22" s="53">
        <v>44847</v>
      </c>
      <c r="H22" s="8">
        <f>IFERROR(Salida[[#This Row],[Precio (S)]]*Salida[[#This Row],[Cantidad]],"")</f>
        <v>330</v>
      </c>
    </row>
    <row r="23" spans="2:8" x14ac:dyDescent="0.25">
      <c r="B23" s="8" t="s">
        <v>59</v>
      </c>
      <c r="C23" s="8" t="s">
        <v>42</v>
      </c>
      <c r="D23" s="8">
        <v>30</v>
      </c>
      <c r="E23" s="8" t="s">
        <v>70</v>
      </c>
      <c r="F23" s="8">
        <v>8</v>
      </c>
      <c r="G23" s="53">
        <v>44574</v>
      </c>
      <c r="H23" s="8">
        <f>IFERROR(Salida[[#This Row],[Precio (S)]]*Salida[[#This Row],[Cantidad]],"")</f>
        <v>240</v>
      </c>
    </row>
    <row r="24" spans="2:8" x14ac:dyDescent="0.25">
      <c r="B24" s="8" t="s">
        <v>54</v>
      </c>
      <c r="C24" s="8" t="s">
        <v>75</v>
      </c>
      <c r="D24" s="8">
        <v>22</v>
      </c>
      <c r="E24" s="8" t="s">
        <v>70</v>
      </c>
      <c r="F24" s="8">
        <v>8</v>
      </c>
      <c r="G24" s="53">
        <v>44574</v>
      </c>
      <c r="H24" s="8">
        <f>IFERROR(Salida[[#This Row],[Precio (S)]]*Salida[[#This Row],[Cantidad]],"")</f>
        <v>176</v>
      </c>
    </row>
    <row r="25" spans="2:8" x14ac:dyDescent="0.25">
      <c r="B25" s="8" t="s">
        <v>54</v>
      </c>
      <c r="C25" s="8" t="s">
        <v>75</v>
      </c>
      <c r="D25" s="8">
        <v>22</v>
      </c>
      <c r="E25" s="8" t="s">
        <v>70</v>
      </c>
      <c r="F25" s="8">
        <v>8</v>
      </c>
      <c r="G25" s="53">
        <v>44847</v>
      </c>
      <c r="H25" s="8">
        <f>IFERROR(Salida[[#This Row],[Precio (S)]]*Salida[[#This Row],[Cantidad]],"")</f>
        <v>176</v>
      </c>
    </row>
    <row r="26" spans="2:8" x14ac:dyDescent="0.25">
      <c r="B26" s="8" t="s">
        <v>54</v>
      </c>
      <c r="C26" s="8" t="s">
        <v>75</v>
      </c>
      <c r="D26" s="8">
        <v>22</v>
      </c>
      <c r="E26" s="8" t="s">
        <v>70</v>
      </c>
      <c r="F26" s="8">
        <v>8</v>
      </c>
      <c r="G26" s="53">
        <v>44817</v>
      </c>
      <c r="H26" s="8">
        <f>IFERROR(Salida[[#This Row],[Precio (S)]]*Salida[[#This Row],[Cantidad]],"")</f>
        <v>176</v>
      </c>
    </row>
    <row r="27" spans="2:8" x14ac:dyDescent="0.25">
      <c r="B27" s="8" t="s">
        <v>53</v>
      </c>
      <c r="C27" s="8" t="s">
        <v>37</v>
      </c>
      <c r="D27" s="8">
        <v>20</v>
      </c>
      <c r="E27" s="8" t="s">
        <v>70</v>
      </c>
      <c r="F27" s="8">
        <v>8</v>
      </c>
      <c r="G27" s="53">
        <v>44786</v>
      </c>
      <c r="H27" s="8">
        <f>IFERROR(Salida[[#This Row],[Precio (S)]]*Salida[[#This Row],[Cantidad]],"")</f>
        <v>160</v>
      </c>
    </row>
    <row r="28" spans="2:8" x14ac:dyDescent="0.25">
      <c r="B28" s="8" t="s">
        <v>62</v>
      </c>
      <c r="C28" s="8" t="s">
        <v>43</v>
      </c>
      <c r="D28" s="8">
        <v>24</v>
      </c>
      <c r="E28" s="8" t="s">
        <v>71</v>
      </c>
      <c r="F28" s="8">
        <v>8</v>
      </c>
      <c r="G28" s="53">
        <v>44786</v>
      </c>
      <c r="H28" s="8">
        <f>IFERROR(Salida[[#This Row],[Precio (S)]]*Salida[[#This Row],[Cantidad]],"")</f>
        <v>192</v>
      </c>
    </row>
    <row r="29" spans="2:8" x14ac:dyDescent="0.25">
      <c r="B29" s="8" t="s">
        <v>66</v>
      </c>
      <c r="C29" s="8" t="s">
        <v>48</v>
      </c>
      <c r="D29" s="8">
        <v>35</v>
      </c>
      <c r="E29" s="8" t="s">
        <v>72</v>
      </c>
      <c r="F29" s="8">
        <v>8</v>
      </c>
      <c r="G29" s="53">
        <v>44725</v>
      </c>
      <c r="H29" s="8">
        <f>IFERROR(Salida[[#This Row],[Precio (S)]]*Salida[[#This Row],[Cantidad]],"")</f>
        <v>280</v>
      </c>
    </row>
    <row r="30" spans="2:8" x14ac:dyDescent="0.25">
      <c r="B30" s="8" t="s">
        <v>29</v>
      </c>
      <c r="C30" s="8" t="s">
        <v>31</v>
      </c>
      <c r="D30" s="8">
        <v>27</v>
      </c>
      <c r="E30" s="8" t="s">
        <v>70</v>
      </c>
      <c r="F30" s="8">
        <v>8</v>
      </c>
      <c r="G30" s="53">
        <v>44725</v>
      </c>
      <c r="H30" s="8">
        <f>IFERROR(Salida[[#This Row],[Precio (S)]]*Salida[[#This Row],[Cantidad]],"")</f>
        <v>216</v>
      </c>
    </row>
    <row r="31" spans="2:8" x14ac:dyDescent="0.25">
      <c r="B31" s="8" t="s">
        <v>22</v>
      </c>
      <c r="C31" s="8" t="s">
        <v>14</v>
      </c>
      <c r="D31" s="8">
        <v>25</v>
      </c>
      <c r="E31" s="8" t="s">
        <v>69</v>
      </c>
      <c r="F31" s="8">
        <v>8</v>
      </c>
      <c r="G31" s="53">
        <v>44694</v>
      </c>
      <c r="H31" s="8">
        <f>IFERROR(Salida[[#This Row],[Precio (S)]]*Salida[[#This Row],[Cantidad]],"")</f>
        <v>200</v>
      </c>
    </row>
    <row r="32" spans="2:8" x14ac:dyDescent="0.25">
      <c r="B32" s="8" t="s">
        <v>20</v>
      </c>
      <c r="C32" s="8" t="s">
        <v>12</v>
      </c>
      <c r="D32" s="8">
        <v>35</v>
      </c>
      <c r="E32" s="8" t="s">
        <v>69</v>
      </c>
      <c r="F32" s="8">
        <v>8</v>
      </c>
      <c r="G32" s="53">
        <v>44694</v>
      </c>
      <c r="H32" s="8">
        <f>IFERROR(Salida[[#This Row],[Precio (S)]]*Salida[[#This Row],[Cantidad]],"")</f>
        <v>280</v>
      </c>
    </row>
    <row r="33" spans="2:8" x14ac:dyDescent="0.25">
      <c r="B33" s="8" t="s">
        <v>30</v>
      </c>
      <c r="C33" s="8" t="s">
        <v>32</v>
      </c>
      <c r="D33" s="8">
        <v>27</v>
      </c>
      <c r="E33" s="8" t="s">
        <v>70</v>
      </c>
      <c r="F33" s="8">
        <v>3</v>
      </c>
      <c r="G33" s="53">
        <v>44694</v>
      </c>
      <c r="H33" s="8">
        <f>IFERROR(Salida[[#This Row],[Precio (S)]]*Salida[[#This Row],[Cantidad]],"")</f>
        <v>81</v>
      </c>
    </row>
    <row r="34" spans="2:8" x14ac:dyDescent="0.25">
      <c r="B34" s="8" t="s">
        <v>29</v>
      </c>
      <c r="C34" s="8" t="s">
        <v>31</v>
      </c>
      <c r="D34" s="8">
        <v>27</v>
      </c>
      <c r="E34" s="8" t="s">
        <v>70</v>
      </c>
      <c r="F34" s="8">
        <v>3</v>
      </c>
      <c r="G34" s="53">
        <v>44664</v>
      </c>
      <c r="H34" s="8">
        <f>IFERROR(Salida[[#This Row],[Precio (S)]]*Salida[[#This Row],[Cantidad]],"")</f>
        <v>81</v>
      </c>
    </row>
    <row r="35" spans="2:8" x14ac:dyDescent="0.25">
      <c r="B35" s="8" t="s">
        <v>23</v>
      </c>
      <c r="C35" s="8" t="s">
        <v>74</v>
      </c>
      <c r="D35" s="8">
        <v>25</v>
      </c>
      <c r="E35" s="8" t="s">
        <v>69</v>
      </c>
      <c r="F35" s="8">
        <v>3</v>
      </c>
      <c r="G35" s="53">
        <v>44725</v>
      </c>
      <c r="H35" s="8">
        <f>IFERROR(Salida[[#This Row],[Precio (S)]]*Salida[[#This Row],[Cantidad]],"")</f>
        <v>75</v>
      </c>
    </row>
    <row r="36" spans="2:8" x14ac:dyDescent="0.25">
      <c r="B36" s="8" t="s">
        <v>22</v>
      </c>
      <c r="C36" s="8" t="s">
        <v>14</v>
      </c>
      <c r="D36" s="8">
        <v>25</v>
      </c>
      <c r="E36" s="8" t="s">
        <v>69</v>
      </c>
      <c r="F36" s="8">
        <v>3</v>
      </c>
      <c r="G36" s="53">
        <v>44664</v>
      </c>
      <c r="H36" s="8">
        <f>IFERROR(Salida[[#This Row],[Precio (S)]]*Salida[[#This Row],[Cantidad]],"")</f>
        <v>75</v>
      </c>
    </row>
    <row r="37" spans="2:8" x14ac:dyDescent="0.25">
      <c r="B37" s="8" t="s">
        <v>27</v>
      </c>
      <c r="C37" s="8" t="s">
        <v>18</v>
      </c>
      <c r="D37" s="8">
        <v>19</v>
      </c>
      <c r="E37" s="8" t="s">
        <v>69</v>
      </c>
      <c r="F37" s="8">
        <v>3</v>
      </c>
      <c r="G37" s="53">
        <v>44633</v>
      </c>
      <c r="H37" s="8">
        <f>IFERROR(Salida[[#This Row],[Precio (S)]]*Salida[[#This Row],[Cantidad]],"")</f>
        <v>57</v>
      </c>
    </row>
    <row r="38" spans="2:8" x14ac:dyDescent="0.25">
      <c r="B38" s="8" t="s">
        <v>27</v>
      </c>
      <c r="C38" s="8" t="s">
        <v>18</v>
      </c>
      <c r="D38" s="8">
        <v>19</v>
      </c>
      <c r="E38" s="8" t="s">
        <v>69</v>
      </c>
      <c r="F38" s="8">
        <v>3</v>
      </c>
      <c r="G38" s="53">
        <v>44633</v>
      </c>
      <c r="H38" s="8">
        <f>IFERROR(Salida[[#This Row],[Precio (S)]]*Salida[[#This Row],[Cantidad]],"")</f>
        <v>57</v>
      </c>
    </row>
    <row r="39" spans="2:8" x14ac:dyDescent="0.25">
      <c r="B39" s="8" t="s">
        <v>26</v>
      </c>
      <c r="C39" s="8" t="s">
        <v>19</v>
      </c>
      <c r="D39" s="8">
        <v>19</v>
      </c>
      <c r="E39" s="8" t="s">
        <v>69</v>
      </c>
      <c r="F39" s="8">
        <v>3</v>
      </c>
      <c r="G39" s="53">
        <v>44633</v>
      </c>
      <c r="H39" s="8">
        <f>IFERROR(Salida[[#This Row],[Precio (S)]]*Salida[[#This Row],[Cantidad]],"")</f>
        <v>57</v>
      </c>
    </row>
    <row r="40" spans="2:8" x14ac:dyDescent="0.25">
      <c r="B40" s="8" t="s">
        <v>26</v>
      </c>
      <c r="C40" s="8" t="s">
        <v>19</v>
      </c>
      <c r="D40" s="8">
        <v>19</v>
      </c>
      <c r="E40" s="8" t="s">
        <v>69</v>
      </c>
      <c r="F40" s="8">
        <v>3</v>
      </c>
      <c r="G40" s="53">
        <v>44633</v>
      </c>
      <c r="H40" s="8">
        <f>IFERROR(Salida[[#This Row],[Precio (S)]]*Salida[[#This Row],[Cantidad]],"")</f>
        <v>57</v>
      </c>
    </row>
    <row r="41" spans="2:8" x14ac:dyDescent="0.25">
      <c r="B41" s="8" t="s">
        <v>24</v>
      </c>
      <c r="C41" s="8" t="s">
        <v>16</v>
      </c>
      <c r="D41" s="8">
        <v>19</v>
      </c>
      <c r="E41" s="8" t="s">
        <v>69</v>
      </c>
      <c r="F41" s="8">
        <v>3</v>
      </c>
      <c r="G41" s="53">
        <v>44633</v>
      </c>
      <c r="H41" s="8">
        <f>IFERROR(Salida[[#This Row],[Precio (S)]]*Salida[[#This Row],[Cantidad]],"")</f>
        <v>57</v>
      </c>
    </row>
    <row r="42" spans="2:8" x14ac:dyDescent="0.25">
      <c r="B42" s="8" t="s">
        <v>28</v>
      </c>
      <c r="C42" s="8" t="s">
        <v>15</v>
      </c>
      <c r="D42" s="8">
        <v>19</v>
      </c>
      <c r="E42" s="8" t="s">
        <v>69</v>
      </c>
      <c r="F42" s="8">
        <v>3</v>
      </c>
      <c r="G42" s="53">
        <v>44633</v>
      </c>
      <c r="H42" s="8">
        <f>IFERROR(Salida[[#This Row],[Precio (S)]]*Salida[[#This Row],[Cantidad]],"")</f>
        <v>57</v>
      </c>
    </row>
    <row r="43" spans="2:8" x14ac:dyDescent="0.25">
      <c r="B43" s="8" t="s">
        <v>28</v>
      </c>
      <c r="C43" s="8" t="str">
        <f>IFERROR(VLOOKUP(B43,ListasPrecios[#All],2,FALSE),"")</f>
        <v>Top Charlotte</v>
      </c>
      <c r="D43" s="8">
        <f>IFERROR(VLOOKUP(B43,ListasPrecios[#All],4,FALSE),"")</f>
        <v>19</v>
      </c>
      <c r="E43" s="8" t="str">
        <f>IFERROR(VLOOKUP(B43,ListasPrecios[#All],5,FALSE),"")</f>
        <v>Probst Vane</v>
      </c>
      <c r="F43" s="8">
        <v>3</v>
      </c>
      <c r="G43" s="53">
        <v>44633</v>
      </c>
      <c r="H43" s="8">
        <f>IFERROR(Salida[[#This Row],[Precio (S)]]*Salida[[#This Row],[Cantidad]],"")</f>
        <v>57</v>
      </c>
    </row>
    <row r="44" spans="2:8" x14ac:dyDescent="0.25">
      <c r="B44" s="8" t="s">
        <v>25</v>
      </c>
      <c r="C44" s="8" t="str">
        <f>IFERROR(VLOOKUP(B44,ListasPrecios[#All],2,FALSE),"")</f>
        <v>Top Olivia</v>
      </c>
      <c r="D44" s="8">
        <f>IFERROR(VLOOKUP(B44,ListasPrecios[#All],4,FALSE),"")</f>
        <v>19</v>
      </c>
      <c r="E44" s="8" t="str">
        <f>IFERROR(VLOOKUP(B44,ListasPrecios[#All],5,FALSE),"")</f>
        <v>Probst Vane</v>
      </c>
      <c r="F44" s="8">
        <v>7</v>
      </c>
      <c r="G44" s="53">
        <v>44633</v>
      </c>
      <c r="H44" s="8">
        <f>IFERROR(Salida[[#This Row],[Precio (S)]]*Salida[[#This Row],[Cantidad]],"")</f>
        <v>133</v>
      </c>
    </row>
    <row r="45" spans="2:8" x14ac:dyDescent="0.25">
      <c r="B45" s="8" t="s">
        <v>21</v>
      </c>
      <c r="C45" s="8" t="str">
        <f>IFERROR(VLOOKUP(B45,ListasPrecios[#All],2,FALSE),"")</f>
        <v>Leggings brillantes</v>
      </c>
      <c r="D45" s="8">
        <f>IFERROR(VLOOKUP(B45,ListasPrecios[#All],4,FALSE),"")</f>
        <v>35</v>
      </c>
      <c r="E45" s="8" t="str">
        <f>IFERROR(VLOOKUP(B45,ListasPrecios[#All],5,FALSE),"")</f>
        <v>Probst Vane</v>
      </c>
      <c r="F45" s="8">
        <v>7</v>
      </c>
      <c r="G45" s="53">
        <v>44633</v>
      </c>
      <c r="H45" s="8">
        <f>IFERROR(Salida[[#This Row],[Precio (S)]]*Salida[[#This Row],[Cantidad]],"")</f>
        <v>245</v>
      </c>
    </row>
    <row r="46" spans="2:8" x14ac:dyDescent="0.25">
      <c r="B46" s="8" t="s">
        <v>20</v>
      </c>
      <c r="C46" s="8" t="str">
        <f>IFERROR(VLOOKUP(B46,ListasPrecios[#All],2,FALSE),"")</f>
        <v>Leggings no brillantes</v>
      </c>
      <c r="D46" s="8">
        <f>IFERROR(VLOOKUP(B46,ListasPrecios[#All],4,FALSE),"")</f>
        <v>35</v>
      </c>
      <c r="E46" s="8" t="str">
        <f>IFERROR(VLOOKUP(B46,ListasPrecios[#All],5,FALSE),"")</f>
        <v>Probst Vane</v>
      </c>
      <c r="F46" s="8">
        <v>7</v>
      </c>
      <c r="G46" s="53">
        <v>44633</v>
      </c>
      <c r="H46" s="8">
        <f>IFERROR(Salida[[#This Row],[Precio (S)]]*Salida[[#This Row],[Cantidad]],"")</f>
        <v>245</v>
      </c>
    </row>
    <row r="47" spans="2:8" x14ac:dyDescent="0.25">
      <c r="B47" s="8" t="s">
        <v>20</v>
      </c>
      <c r="C47" s="8" t="str">
        <f>IFERROR(VLOOKUP(B47,ListasPrecios[#All],2,FALSE),"")</f>
        <v>Leggings no brillantes</v>
      </c>
      <c r="D47" s="8">
        <f>IFERROR(VLOOKUP(B47,ListasPrecios[#All],4,FALSE),"")</f>
        <v>35</v>
      </c>
      <c r="E47" s="8" t="str">
        <f>IFERROR(VLOOKUP(B47,ListasPrecios[#All],5,FALSE),"")</f>
        <v>Probst Vane</v>
      </c>
      <c r="F47" s="8">
        <v>7</v>
      </c>
      <c r="G47" s="53">
        <v>44633</v>
      </c>
      <c r="H47" s="8">
        <f>IFERROR(Salida[[#This Row],[Precio (S)]]*Salida[[#This Row],[Cantidad]],"")</f>
        <v>245</v>
      </c>
    </row>
    <row r="48" spans="2:8" x14ac:dyDescent="0.25">
      <c r="B48" s="8" t="s">
        <v>61</v>
      </c>
      <c r="C48" s="8" t="str">
        <f>IFERROR(VLOOKUP(B48,ListasPrecios[#All],2,FALSE),"")</f>
        <v xml:space="preserve">Camisetas Estampadas algodón </v>
      </c>
      <c r="D48" s="8">
        <f>IFERROR(VLOOKUP(B48,ListasPrecios[#All],4,FALSE),"")</f>
        <v>24</v>
      </c>
      <c r="E48" s="8" t="str">
        <f>IFERROR(VLOOKUP(B48,ListasPrecios[#All],5,FALSE),"")</f>
        <v>Probst Dan</v>
      </c>
      <c r="F48" s="8">
        <v>1</v>
      </c>
      <c r="G48" s="53">
        <v>44633</v>
      </c>
      <c r="H48" s="8">
        <f>IFERROR(Salida[[#This Row],[Precio (S)]]*Salida[[#This Row],[Cantidad]],"")</f>
        <v>24</v>
      </c>
    </row>
    <row r="49" spans="2:8" x14ac:dyDescent="0.25">
      <c r="B49" s="55" t="s">
        <v>52</v>
      </c>
      <c r="C49" s="26" t="str">
        <f>IFERROR(VLOOKUP(B49,ListasPrecios[#All],2,FALSE),"")</f>
        <v>Bividí cuello alto</v>
      </c>
      <c r="D49" s="26">
        <v>20</v>
      </c>
      <c r="E49" s="26" t="s">
        <v>87</v>
      </c>
      <c r="F49" s="26">
        <v>2</v>
      </c>
      <c r="G49" s="54">
        <v>44607</v>
      </c>
      <c r="H49" s="14">
        <f>IFERROR(Salida[[#This Row],[Precio (S)]]*Salida[[#This Row],[Cantidad]],"")</f>
        <v>40</v>
      </c>
    </row>
    <row r="50" spans="2:8" x14ac:dyDescent="0.25">
      <c r="B50" s="55" t="s">
        <v>28</v>
      </c>
      <c r="C50" s="26" t="str">
        <f>IFERROR(VLOOKUP(B50,ListasPrecios[#All],2,FALSE),"")</f>
        <v>Top Charlotte</v>
      </c>
      <c r="D50" s="26">
        <v>20</v>
      </c>
      <c r="E50" s="26" t="s">
        <v>87</v>
      </c>
      <c r="F50" s="26">
        <v>1</v>
      </c>
      <c r="G50" s="54">
        <v>44608</v>
      </c>
      <c r="H50" s="14">
        <f>IFERROR(Salida[[#This Row],[Precio (S)]]*Salida[[#This Row],[Cantidad]],"")</f>
        <v>20</v>
      </c>
    </row>
    <row r="51" spans="2:8" x14ac:dyDescent="0.25">
      <c r="B51" s="55" t="s">
        <v>20</v>
      </c>
      <c r="C51" s="26" t="str">
        <f>IFERROR(VLOOKUP(B51,ListasPrecios[#All],2,FALSE),"")</f>
        <v>Leggings no brillantes</v>
      </c>
      <c r="D51" s="26">
        <v>35</v>
      </c>
      <c r="E51" s="26" t="s">
        <v>87</v>
      </c>
      <c r="F51" s="26">
        <v>2</v>
      </c>
      <c r="G51" s="54">
        <v>44609</v>
      </c>
      <c r="H51" s="14">
        <f>IFERROR(Salida[[#This Row],[Precio (S)]]*Salida[[#This Row],[Cantidad]],"")</f>
        <v>70</v>
      </c>
    </row>
    <row r="52" spans="2:8" x14ac:dyDescent="0.25">
      <c r="B52" s="55"/>
      <c r="C52" s="26" t="str">
        <f>IFERROR(VLOOKUP(B52,ListasPrecios[#All],2,FALSE),"")</f>
        <v/>
      </c>
      <c r="D52" s="26" t="str">
        <f>IFERROR(VLOOKUP(B52,ListasPrecios[#All],3,FALSE),"")</f>
        <v/>
      </c>
      <c r="E52" s="26" t="str">
        <f>IFERROR(VLOOKUP(B52,ListasPrecios[#All],4,FALSE),"")</f>
        <v/>
      </c>
      <c r="F52" s="26"/>
      <c r="G52" s="54"/>
      <c r="H52" s="14" t="str">
        <f>IFERROR(Salida[[#This Row],[Precio (S)]]*Salida[[#This Row],[Cantidad]],"")</f>
        <v/>
      </c>
    </row>
    <row r="53" spans="2:8" x14ac:dyDescent="0.25">
      <c r="B53" s="55"/>
      <c r="C53" s="26" t="str">
        <f>IFERROR(VLOOKUP(B53,ListasPrecios[#All],2,FALSE),"")</f>
        <v/>
      </c>
      <c r="D53" s="26" t="str">
        <f>IFERROR(VLOOKUP(B53,ListasPrecios[#All],3,FALSE),"")</f>
        <v/>
      </c>
      <c r="E53" s="26" t="str">
        <f>IFERROR(VLOOKUP(B53,ListasPrecios[#All],4,FALSE),"")</f>
        <v/>
      </c>
      <c r="F53" s="26"/>
      <c r="G53" s="54"/>
      <c r="H53" s="14" t="str">
        <f>IFERROR(Salida[[#This Row],[Precio (S)]]*Salida[[#This Row],[Cantidad]],"")</f>
        <v/>
      </c>
    </row>
    <row r="54" spans="2:8" x14ac:dyDescent="0.25">
      <c r="B54" s="55"/>
      <c r="C54" s="26" t="str">
        <f>IFERROR(VLOOKUP(B54,ListasPrecios[#All],2,FALSE),"")</f>
        <v/>
      </c>
      <c r="D54" s="26" t="str">
        <f>IFERROR(VLOOKUP(B54,ListasPrecios[#All],3,FALSE),"")</f>
        <v/>
      </c>
      <c r="E54" s="26" t="str">
        <f>IFERROR(VLOOKUP(B54,ListasPrecios[#All],4,FALSE),"")</f>
        <v/>
      </c>
      <c r="F54" s="26"/>
      <c r="G54" s="54"/>
      <c r="H54" s="14" t="str">
        <f>IFERROR(Salida[[#This Row],[Precio (S)]]*Salida[[#This Row],[Cantidad]],"")</f>
        <v/>
      </c>
    </row>
    <row r="55" spans="2:8" x14ac:dyDescent="0.25">
      <c r="B55" s="55"/>
      <c r="C55" s="26" t="str">
        <f>IFERROR(VLOOKUP(B55,ListasPrecios[#All],2,FALSE),"")</f>
        <v/>
      </c>
      <c r="D55" s="26" t="str">
        <f>IFERROR(VLOOKUP(B55,ListasPrecios[#All],3,FALSE),"")</f>
        <v/>
      </c>
      <c r="E55" s="26" t="str">
        <f>IFERROR(VLOOKUP(B55,ListasPrecios[#All],4,FALSE),"")</f>
        <v/>
      </c>
      <c r="F55" s="26"/>
      <c r="G55" s="54"/>
      <c r="H55" s="14" t="str">
        <f>IFERROR(Salida[[#This Row],[Precio (S)]]*Salida[[#This Row],[Cantidad]],"")</f>
        <v/>
      </c>
    </row>
    <row r="56" spans="2:8" x14ac:dyDescent="0.25">
      <c r="B56" s="55"/>
      <c r="C56" s="26" t="str">
        <f>IFERROR(VLOOKUP(B56,ListasPrecios[#All],2,FALSE),"")</f>
        <v/>
      </c>
      <c r="D56" s="26" t="str">
        <f>IFERROR(VLOOKUP(B56,ListasPrecios[#All],3,FALSE),"")</f>
        <v/>
      </c>
      <c r="E56" s="26" t="str">
        <f>IFERROR(VLOOKUP(B56,ListasPrecios[#All],4,FALSE),"")</f>
        <v/>
      </c>
      <c r="F56" s="26"/>
      <c r="G56" s="54"/>
      <c r="H56" s="14" t="str">
        <f>IFERROR(Salida[[#This Row],[Precio (S)]]*Salida[[#This Row],[Cantidad]],"")</f>
        <v/>
      </c>
    </row>
    <row r="57" spans="2:8" x14ac:dyDescent="0.25">
      <c r="B57" s="55"/>
      <c r="C57" s="26" t="str">
        <f>IFERROR(VLOOKUP(B57,ListasPrecios[#All],2,FALSE),"")</f>
        <v/>
      </c>
      <c r="D57" s="26" t="str">
        <f>IFERROR(VLOOKUP(B57,ListasPrecios[#All],3,FALSE),"")</f>
        <v/>
      </c>
      <c r="E57" s="26" t="str">
        <f>IFERROR(VLOOKUP(B57,ListasPrecios[#All],4,FALSE),"")</f>
        <v/>
      </c>
      <c r="F57" s="26"/>
      <c r="G57" s="54"/>
      <c r="H57" s="14" t="str">
        <f>IFERROR(Salida[[#This Row],[Precio (S)]]*Salida[[#This Row],[Cantidad]],"")</f>
        <v/>
      </c>
    </row>
    <row r="58" spans="2:8" x14ac:dyDescent="0.25">
      <c r="B58" s="13"/>
      <c r="C58" s="8" t="str">
        <f>IFERROR(VLOOKUP(B58,ListasPrecios[#All],2,FALSE),"")</f>
        <v/>
      </c>
      <c r="D58" s="8" t="str">
        <f>IFERROR(VLOOKUP(B58,ListasPrecios[#All],3,FALSE),"")</f>
        <v/>
      </c>
      <c r="E58" s="8" t="str">
        <f>IFERROR(VLOOKUP(B58,ListasPrecios[#All],4,FALSE),"")</f>
        <v/>
      </c>
      <c r="F58" s="8"/>
      <c r="G58" s="8"/>
      <c r="H58" s="14" t="str">
        <f>IFERROR(Salida[[#This Row],[Precio (S)]]*Salida[[#This Row],[Cantidad]],"")</f>
        <v/>
      </c>
    </row>
    <row r="59" spans="2:8" x14ac:dyDescent="0.25">
      <c r="B59" s="55"/>
      <c r="C59" s="26" t="str">
        <f>IFERROR(VLOOKUP(B59,ListasPrecios[#All],2,FALSE),"")</f>
        <v/>
      </c>
      <c r="D59" s="26" t="str">
        <f>IFERROR(VLOOKUP(B59,ListasPrecios[#All],3,FALSE),"")</f>
        <v/>
      </c>
      <c r="E59" s="26" t="str">
        <f>IFERROR(VLOOKUP(B59,ListasPrecios[#All],4,FALSE),"")</f>
        <v/>
      </c>
      <c r="F59" s="26"/>
      <c r="G59" s="26"/>
      <c r="H59" s="14" t="str">
        <f>IFERROR(Salida[[#This Row],[Precio (S)]]*Salida[[#This Row],[Cantidad]],"")</f>
        <v/>
      </c>
    </row>
    <row r="60" spans="2:8" x14ac:dyDescent="0.25">
      <c r="B60" s="12"/>
      <c r="C60" s="18" t="str">
        <f>IFERROR(VLOOKUP(B60,ListasPrecios[#All],2,FALSE),"")</f>
        <v/>
      </c>
      <c r="D60" s="18" t="str">
        <f>IFERROR(VLOOKUP(B60,ListasPrecios[#All],3,FALSE),"")</f>
        <v/>
      </c>
      <c r="E60" s="18" t="str">
        <f>IFERROR(VLOOKUP(B60,ListasPrecios[#All],4,FALSE),"")</f>
        <v/>
      </c>
      <c r="F60" s="18"/>
      <c r="G60" s="18"/>
      <c r="H60" s="11" t="str">
        <f>IFERROR(Salida[[#This Row],[Precio (S)]]*Salida[[#This Row],[Cantidad]],"")</f>
        <v/>
      </c>
    </row>
    <row r="61" spans="2:8" x14ac:dyDescent="0.25">
      <c r="B61" s="8"/>
      <c r="C61" s="8"/>
      <c r="D61" s="8"/>
      <c r="E61" s="8"/>
      <c r="F61" s="8"/>
      <c r="G61" s="8"/>
      <c r="H61" s="8"/>
    </row>
    <row r="62" spans="2:8" x14ac:dyDescent="0.25">
      <c r="B62" s="8"/>
      <c r="C62" s="8"/>
      <c r="D62" s="8"/>
      <c r="E62" s="8"/>
      <c r="F62" s="8"/>
      <c r="G62" s="8"/>
      <c r="H62" s="8"/>
    </row>
    <row r="63" spans="2:8" x14ac:dyDescent="0.25">
      <c r="B63" s="8"/>
      <c r="C63" s="8"/>
      <c r="D63" s="8"/>
      <c r="E63" s="8"/>
      <c r="F63" s="8"/>
      <c r="G63" s="8"/>
      <c r="H63" s="8"/>
    </row>
    <row r="64" spans="2:8" x14ac:dyDescent="0.25">
      <c r="B64" s="8"/>
      <c r="C64" s="8"/>
      <c r="D64" s="8"/>
      <c r="E64" s="8"/>
      <c r="F64" s="8"/>
      <c r="G64" s="8"/>
      <c r="H64" s="8"/>
    </row>
    <row r="65" spans="2:8" x14ac:dyDescent="0.25">
      <c r="B65" s="8"/>
      <c r="C65" s="8"/>
      <c r="D65" s="8"/>
      <c r="E65" s="8"/>
      <c r="F65" s="8"/>
      <c r="G65" s="8"/>
      <c r="H65" s="8"/>
    </row>
    <row r="66" spans="2:8" x14ac:dyDescent="0.25">
      <c r="B66" s="8"/>
      <c r="C66" s="8"/>
      <c r="D66" s="8"/>
      <c r="E66" s="8"/>
      <c r="F66" s="8"/>
      <c r="G66" s="8"/>
      <c r="H66" s="8"/>
    </row>
    <row r="67" spans="2:8" x14ac:dyDescent="0.25">
      <c r="B67" s="8"/>
      <c r="C67" s="8"/>
      <c r="D67" s="8"/>
      <c r="E67" s="8"/>
      <c r="F67" s="8"/>
      <c r="G67" s="8"/>
      <c r="H67" s="8"/>
    </row>
    <row r="68" spans="2:8" x14ac:dyDescent="0.25">
      <c r="B68" s="8"/>
      <c r="C68" s="8"/>
      <c r="D68" s="8"/>
      <c r="E68" s="8"/>
      <c r="F68" s="8"/>
      <c r="G68" s="8"/>
      <c r="H68" s="8"/>
    </row>
    <row r="69" spans="2:8" x14ac:dyDescent="0.25">
      <c r="B69" s="8"/>
      <c r="C69" s="8"/>
      <c r="D69" s="8"/>
      <c r="E69" s="8"/>
      <c r="F69" s="8"/>
      <c r="G69" s="8"/>
      <c r="H69" s="8"/>
    </row>
    <row r="70" spans="2:8" x14ac:dyDescent="0.25">
      <c r="B70" s="8"/>
      <c r="C70" s="8"/>
      <c r="D70" s="8"/>
      <c r="E70" s="8"/>
      <c r="F70" s="8"/>
      <c r="G70" s="8"/>
      <c r="H70" s="8"/>
    </row>
    <row r="71" spans="2:8" x14ac:dyDescent="0.25">
      <c r="B71" s="8"/>
      <c r="C71" s="8"/>
      <c r="D71" s="8"/>
      <c r="E71" s="8"/>
      <c r="F71" s="8"/>
      <c r="G71" s="8"/>
      <c r="H71" s="8"/>
    </row>
    <row r="72" spans="2:8" x14ac:dyDescent="0.25">
      <c r="B72" s="8"/>
      <c r="C72" s="8"/>
      <c r="D72" s="8"/>
      <c r="E72" s="8"/>
      <c r="F72" s="8"/>
      <c r="G72" s="8"/>
      <c r="H72" s="8"/>
    </row>
    <row r="73" spans="2:8" x14ac:dyDescent="0.25">
      <c r="B73" s="8"/>
      <c r="C73" s="8"/>
      <c r="D73" s="8"/>
      <c r="E73" s="8"/>
      <c r="F73" s="8"/>
      <c r="G73" s="8"/>
      <c r="H73" s="8"/>
    </row>
    <row r="74" spans="2:8" x14ac:dyDescent="0.25">
      <c r="B74" s="8"/>
      <c r="C74" s="8"/>
      <c r="D74" s="8"/>
      <c r="E74" s="8"/>
      <c r="F74" s="8"/>
      <c r="G74" s="8"/>
      <c r="H74" s="8"/>
    </row>
    <row r="75" spans="2:8" x14ac:dyDescent="0.25">
      <c r="B75" s="8"/>
      <c r="C75" s="8"/>
      <c r="D75" s="8"/>
      <c r="E75" s="8"/>
      <c r="F75" s="8"/>
      <c r="G75" s="8"/>
      <c r="H75" s="8"/>
    </row>
    <row r="76" spans="2:8" x14ac:dyDescent="0.25">
      <c r="B76" s="8"/>
      <c r="C76" s="8"/>
      <c r="D76" s="8"/>
      <c r="E76" s="8"/>
      <c r="F76" s="8"/>
      <c r="G76" s="8"/>
      <c r="H76" s="8"/>
    </row>
    <row r="77" spans="2:8" x14ac:dyDescent="0.25">
      <c r="B77" s="8"/>
      <c r="C77" s="8"/>
      <c r="D77" s="8"/>
      <c r="E77" s="8"/>
      <c r="F77" s="8"/>
      <c r="G77" s="8"/>
      <c r="H77" s="8"/>
    </row>
    <row r="78" spans="2:8" x14ac:dyDescent="0.25">
      <c r="B78" s="8"/>
      <c r="C78" s="8"/>
      <c r="D78" s="8"/>
      <c r="E78" s="8"/>
      <c r="F78" s="8"/>
      <c r="G78" s="8"/>
      <c r="H78" s="8"/>
    </row>
    <row r="79" spans="2:8" x14ac:dyDescent="0.25">
      <c r="B79" s="8"/>
      <c r="C79" s="8"/>
      <c r="D79" s="8"/>
      <c r="E79" s="8"/>
      <c r="F79" s="8"/>
      <c r="G79" s="8"/>
      <c r="H79" s="8"/>
    </row>
  </sheetData>
  <phoneticPr fontId="4" type="noConversion"/>
  <pageMargins left="0.7" right="0.7" top="0.75" bottom="0.75" header="0.3" footer="0.3"/>
  <pageSetup orientation="portrait" r:id="rId1"/>
  <ignoredErrors>
    <ignoredError sqref="C40:E40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0E210-BC85-4161-B378-6D14929803AC}">
          <x14:formula1>
            <xm:f>'Listas validadas'!$A$5:$A$24</xm:f>
          </x14:formula1>
          <xm:sqref>C10 F16:F60</xm:sqref>
        </x14:dataValidation>
        <x14:dataValidation type="list" allowBlank="1" showInputMessage="1" showErrorMessage="1" xr:uid="{A5B12CB2-D36D-465E-8FB6-867D773EDF1F}">
          <x14:formula1>
            <xm:f>'Lista de Productos'!$B$6:$B$36</xm:f>
          </x14:formula1>
          <xm:sqref>C6 B16:B60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92325-55E5-4EBC-8EFA-359F46721384}">
  <sheetPr codeName="Hoja6">
    <tabColor rgb="FFFFC000"/>
  </sheetPr>
  <dimension ref="B1:P28"/>
  <sheetViews>
    <sheetView showGridLines="0" tabSelected="1" topLeftCell="A2" zoomScale="73" zoomScaleNormal="73" workbookViewId="0">
      <selection activeCell="A9" sqref="A9"/>
    </sheetView>
  </sheetViews>
  <sheetFormatPr baseColWidth="10" defaultRowHeight="15" x14ac:dyDescent="0.25"/>
  <cols>
    <col min="1" max="2" width="11.42578125" style="65"/>
    <col min="3" max="3" width="33.5703125" style="73" customWidth="1"/>
    <col min="4" max="4" width="13.7109375" style="73" customWidth="1"/>
    <col min="5" max="5" width="14.42578125" style="73" customWidth="1"/>
    <col min="6" max="6" width="15.5703125" style="73" customWidth="1"/>
    <col min="7" max="7" width="17.42578125" style="73" customWidth="1"/>
    <col min="8" max="8" width="17.28515625" style="73" customWidth="1"/>
    <col min="9" max="10" width="14.5703125" style="73" customWidth="1"/>
    <col min="11" max="11" width="15.7109375" style="73" customWidth="1"/>
    <col min="12" max="12" width="17.7109375" style="73" customWidth="1"/>
    <col min="13" max="13" width="15.140625" style="73" customWidth="1"/>
    <col min="14" max="14" width="14.42578125" style="73" customWidth="1"/>
    <col min="15" max="15" width="13.85546875" style="73" customWidth="1"/>
    <col min="16" max="16384" width="11.42578125" style="65"/>
  </cols>
  <sheetData>
    <row r="1" spans="2:16" ht="9" customHeight="1" x14ac:dyDescent="0.25"/>
    <row r="2" spans="2:16" ht="38.25" customHeight="1" x14ac:dyDescent="0.7">
      <c r="C2" s="104" t="s">
        <v>122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2:16" ht="6" customHeight="1" x14ac:dyDescent="0.25"/>
    <row r="4" spans="2:16" ht="26.25" x14ac:dyDescent="0.4">
      <c r="C4" s="67" t="s">
        <v>129</v>
      </c>
      <c r="D4" s="67" t="s">
        <v>114</v>
      </c>
      <c r="E4" s="67" t="s">
        <v>99</v>
      </c>
      <c r="F4" s="67" t="s">
        <v>100</v>
      </c>
      <c r="G4" s="67" t="s">
        <v>101</v>
      </c>
      <c r="H4" s="67" t="s">
        <v>102</v>
      </c>
      <c r="I4" s="67" t="s">
        <v>111</v>
      </c>
      <c r="J4" s="67" t="s">
        <v>115</v>
      </c>
      <c r="K4" s="67" t="s">
        <v>116</v>
      </c>
      <c r="L4" s="67" t="s">
        <v>117</v>
      </c>
      <c r="M4" s="67" t="s">
        <v>118</v>
      </c>
      <c r="N4" s="67" t="s">
        <v>119</v>
      </c>
      <c r="O4" s="67" t="s">
        <v>120</v>
      </c>
    </row>
    <row r="5" spans="2:16" ht="21.75" customHeight="1" x14ac:dyDescent="0.4">
      <c r="C5" s="67" t="s">
        <v>113</v>
      </c>
      <c r="D5" s="68">
        <f ca="1">SUMIF(Tablas!$G:$H,'Ingresos-Gastos'!D4,Tablas!$H:$H)</f>
        <v>416</v>
      </c>
      <c r="E5" s="68">
        <f ca="1">SUMIF(Tablas!$G:$H,'Ingresos-Gastos'!E4,Tablas!$H:$H)</f>
        <v>614</v>
      </c>
      <c r="F5" s="68">
        <f ca="1">SUMIF(Tablas!$G:$H,'Ingresos-Gastos'!F4,Tablas!$H:$H)</f>
        <v>1291</v>
      </c>
      <c r="G5" s="68">
        <f ca="1">SUMIF(Tablas!$G:$H,'Ingresos-Gastos'!G4,Tablas!$H:$H)</f>
        <v>156</v>
      </c>
      <c r="H5" s="68">
        <f ca="1">SUMIF(Tablas!$G:$H,'Ingresos-Gastos'!H4,Tablas!$H:$H)</f>
        <v>561</v>
      </c>
      <c r="I5" s="68">
        <f ca="1">SUMIF(Tablas!$G:$H,'Ingresos-Gastos'!I4,Tablas!$H:$H)</f>
        <v>571</v>
      </c>
      <c r="J5" s="68">
        <f ca="1">SUMIF(Tablas!$G:$H,'Ingresos-Gastos'!J4,Tablas!$H:$H)</f>
        <v>440</v>
      </c>
      <c r="K5" s="68">
        <f ca="1">SUMIF(Tablas!$G:$H,'Ingresos-Gastos'!K4,Tablas!$H:$H)</f>
        <v>352</v>
      </c>
      <c r="L5" s="68">
        <f ca="1">SUMIF(Tablas!$G:$H,'Ingresos-Gastos'!L4,Tablas!$H:$H)</f>
        <v>176</v>
      </c>
      <c r="M5" s="68">
        <f ca="1">SUMIF(Tablas!$G:$H,'Ingresos-Gastos'!M4,Tablas!$H:$H)</f>
        <v>506</v>
      </c>
      <c r="N5" s="68">
        <f ca="1">SUMIF(Tablas!$G:$H,'Ingresos-Gastos'!N4,Tablas!$H:$H)</f>
        <v>264</v>
      </c>
      <c r="O5" s="68">
        <f ca="1">SUMIF(Tablas!$G:$H,'Ingresos-Gastos'!O4,Tablas!$H:$H)</f>
        <v>597</v>
      </c>
    </row>
    <row r="6" spans="2:16" ht="23.25" customHeight="1" x14ac:dyDescent="0.4">
      <c r="C6" s="67" t="s">
        <v>131</v>
      </c>
      <c r="D6" s="68">
        <f ca="1">SUMIF(Tablas!$A:$B,'Ingresos-Gastos'!D4,Tablas!$B:$B)+SUMIF(Tablas!$D:$E,'Ingresos-Gastos'!D4,Tablas!$E:$E)</f>
        <v>180</v>
      </c>
      <c r="E6" s="68">
        <f ca="1">SUMIF(Tablas!$A:$B,'Ingresos-Gastos'!E4,Tablas!$B:$B)+SUMIF(Tablas!$D:$E,'Ingresos-Gastos'!E4,Tablas!$E:$E)</f>
        <v>870</v>
      </c>
      <c r="F6" s="68">
        <f ca="1">SUMIF(Tablas!$A:$B,'Ingresos-Gastos'!F4,Tablas!$B:$B)+SUMIF(Tablas!$D:$E,'Ingresos-Gastos'!F4,Tablas!$E:$E)</f>
        <v>367</v>
      </c>
      <c r="G6" s="68">
        <f ca="1">SUMIF(Tablas!$A:$B,'Ingresos-Gastos'!G4,Tablas!$B:$B)+SUMIF(Tablas!$D:$E,'Ingresos-Gastos'!G4,Tablas!$E:$E)</f>
        <v>308.5</v>
      </c>
      <c r="H6" s="68">
        <f ca="1">SUMIF(Tablas!$A:$B,'Ingresos-Gastos'!H4,Tablas!$B:$B)+SUMIF(Tablas!$D:$E,'Ingresos-Gastos'!H4,Tablas!$E:$E)</f>
        <v>353.5</v>
      </c>
      <c r="I6" s="68">
        <f ca="1">SUMIF(Tablas!$A:$B,'Ingresos-Gastos'!I4,Tablas!$B:$B)+SUMIF(Tablas!$D:$E,'Ingresos-Gastos'!I4,Tablas!$E:$E)</f>
        <v>368</v>
      </c>
      <c r="J6" s="68">
        <f ca="1">SUMIF(Tablas!$A:$B,'Ingresos-Gastos'!J4,Tablas!$B:$B)+SUMIF(Tablas!$D:$E,'Ingresos-Gastos'!J4,Tablas!$E:$E)</f>
        <v>24</v>
      </c>
      <c r="K6" s="68">
        <f ca="1">SUMIF(Tablas!$A:$B,'Ingresos-Gastos'!K4,Tablas!$B:$B)+SUMIF(Tablas!$D:$E,'Ingresos-Gastos'!K4,Tablas!$E:$E)</f>
        <v>900</v>
      </c>
      <c r="L6" s="68">
        <f ca="1">SUMIF(Tablas!$A:$B,'Ingresos-Gastos'!L4,Tablas!$B:$B)+SUMIF(Tablas!$D:$E,'Ingresos-Gastos'!L4,Tablas!$E:$E)</f>
        <v>474</v>
      </c>
      <c r="M6" s="68">
        <f ca="1">SUMIF(Tablas!$A:$B,'Ingresos-Gastos'!M4,Tablas!$B:$B)+SUMIF(Tablas!$D:$E,'Ingresos-Gastos'!M4,Tablas!$E:$E)</f>
        <v>304</v>
      </c>
      <c r="N6" s="68">
        <f ca="1">SUMIF(Tablas!$A:$B,'Ingresos-Gastos'!N4,Tablas!$B:$B)+SUMIF(Tablas!$D:$E,'Ingresos-Gastos'!N4,Tablas!$E:$E)</f>
        <v>673</v>
      </c>
      <c r="O6" s="68">
        <f ca="1">SUMIF(Tablas!$A:$B,'Ingresos-Gastos'!O4,Tablas!$B:$B)+SUMIF(Tablas!$D:$E,'Ingresos-Gastos'!O4,Tablas!$E:$E)</f>
        <v>250</v>
      </c>
    </row>
    <row r="7" spans="2:16" ht="17.25" customHeight="1" x14ac:dyDescent="0.4">
      <c r="C7" s="69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</row>
    <row r="8" spans="2:16" ht="21" customHeight="1" x14ac:dyDescent="0.4">
      <c r="C8" s="67" t="s">
        <v>124</v>
      </c>
      <c r="D8" s="68">
        <f ca="1">D5-D6</f>
        <v>236</v>
      </c>
      <c r="E8" s="68">
        <f t="shared" ref="E8:O8" ca="1" si="0">E5-E6</f>
        <v>-256</v>
      </c>
      <c r="F8" s="68">
        <f t="shared" ca="1" si="0"/>
        <v>924</v>
      </c>
      <c r="G8" s="68">
        <f t="shared" ca="1" si="0"/>
        <v>-152.5</v>
      </c>
      <c r="H8" s="68">
        <f t="shared" ca="1" si="0"/>
        <v>207.5</v>
      </c>
      <c r="I8" s="68">
        <f t="shared" ca="1" si="0"/>
        <v>203</v>
      </c>
      <c r="J8" s="68">
        <f t="shared" ca="1" si="0"/>
        <v>416</v>
      </c>
      <c r="K8" s="68">
        <f t="shared" ca="1" si="0"/>
        <v>-548</v>
      </c>
      <c r="L8" s="68">
        <f t="shared" ca="1" si="0"/>
        <v>-298</v>
      </c>
      <c r="M8" s="68">
        <f t="shared" ca="1" si="0"/>
        <v>202</v>
      </c>
      <c r="N8" s="68">
        <f t="shared" ca="1" si="0"/>
        <v>-409</v>
      </c>
      <c r="O8" s="68">
        <f t="shared" ca="1" si="0"/>
        <v>347</v>
      </c>
    </row>
    <row r="9" spans="2:16" ht="26.25" x14ac:dyDescent="0.4">
      <c r="C9" s="67" t="s">
        <v>125</v>
      </c>
      <c r="D9" s="68">
        <f ca="1">D8</f>
        <v>236</v>
      </c>
      <c r="E9" s="68">
        <f ca="1">E8+D9</f>
        <v>-20</v>
      </c>
      <c r="F9" s="68">
        <f t="shared" ref="F9:O9" ca="1" si="1">F8+E9</f>
        <v>904</v>
      </c>
      <c r="G9" s="68">
        <f t="shared" ca="1" si="1"/>
        <v>751.5</v>
      </c>
      <c r="H9" s="68">
        <f t="shared" ca="1" si="1"/>
        <v>959</v>
      </c>
      <c r="I9" s="68">
        <f t="shared" ca="1" si="1"/>
        <v>1162</v>
      </c>
      <c r="J9" s="68">
        <f t="shared" ca="1" si="1"/>
        <v>1578</v>
      </c>
      <c r="K9" s="68">
        <f t="shared" ca="1" si="1"/>
        <v>1030</v>
      </c>
      <c r="L9" s="68">
        <f t="shared" ca="1" si="1"/>
        <v>732</v>
      </c>
      <c r="M9" s="68">
        <f t="shared" ca="1" si="1"/>
        <v>934</v>
      </c>
      <c r="N9" s="68">
        <f t="shared" ca="1" si="1"/>
        <v>525</v>
      </c>
      <c r="O9" s="68">
        <f t="shared" ca="1" si="1"/>
        <v>872</v>
      </c>
    </row>
    <row r="10" spans="2:16" ht="5.25" customHeight="1" x14ac:dyDescent="0.35">
      <c r="C10" s="71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</row>
    <row r="11" spans="2:16" ht="12" customHeight="1" x14ac:dyDescent="0.25">
      <c r="B11" s="95" t="s">
        <v>126</v>
      </c>
      <c r="C11" s="96"/>
      <c r="D11" s="97"/>
      <c r="F11" s="95" t="s">
        <v>113</v>
      </c>
      <c r="G11" s="96"/>
      <c r="H11" s="97"/>
      <c r="J11" s="95" t="s">
        <v>127</v>
      </c>
      <c r="K11" s="96"/>
      <c r="L11" s="97"/>
      <c r="N11" s="95" t="s">
        <v>128</v>
      </c>
      <c r="O11" s="96"/>
      <c r="P11" s="97"/>
    </row>
    <row r="12" spans="2:16" x14ac:dyDescent="0.25">
      <c r="B12" s="98"/>
      <c r="C12" s="99"/>
      <c r="D12" s="100"/>
      <c r="F12" s="98"/>
      <c r="G12" s="99"/>
      <c r="H12" s="100"/>
      <c r="J12" s="98"/>
      <c r="K12" s="99"/>
      <c r="L12" s="100"/>
      <c r="N12" s="98"/>
      <c r="O12" s="99"/>
      <c r="P12" s="100"/>
    </row>
    <row r="13" spans="2:16" x14ac:dyDescent="0.25">
      <c r="B13" s="86">
        <f ca="1">SUM(Inventario!K9:K1048576)</f>
        <v>2567</v>
      </c>
      <c r="C13" s="87"/>
      <c r="D13" s="88"/>
      <c r="F13" s="86">
        <f>SUM(Salida!H:H)</f>
        <v>5944</v>
      </c>
      <c r="G13" s="87"/>
      <c r="H13" s="88"/>
      <c r="J13" s="86">
        <f>SUM(Entrada!H:H)+SUM('Entrada Gastos Fijos'!F:F)</f>
        <v>5072</v>
      </c>
      <c r="K13" s="87"/>
      <c r="L13" s="88"/>
      <c r="N13" s="86">
        <f>F13-J13</f>
        <v>872</v>
      </c>
      <c r="O13" s="87"/>
      <c r="P13" s="88"/>
    </row>
    <row r="14" spans="2:16" x14ac:dyDescent="0.25">
      <c r="B14" s="89"/>
      <c r="C14" s="90"/>
      <c r="D14" s="91"/>
      <c r="F14" s="89"/>
      <c r="G14" s="90"/>
      <c r="H14" s="91"/>
      <c r="J14" s="89"/>
      <c r="K14" s="90"/>
      <c r="L14" s="91"/>
      <c r="N14" s="89"/>
      <c r="O14" s="90"/>
      <c r="P14" s="91"/>
    </row>
    <row r="15" spans="2:16" x14ac:dyDescent="0.25">
      <c r="B15" s="89"/>
      <c r="C15" s="90"/>
      <c r="D15" s="91"/>
      <c r="F15" s="89"/>
      <c r="G15" s="90"/>
      <c r="H15" s="91"/>
      <c r="J15" s="89"/>
      <c r="K15" s="90"/>
      <c r="L15" s="91"/>
      <c r="N15" s="89"/>
      <c r="O15" s="90"/>
      <c r="P15" s="91"/>
    </row>
    <row r="16" spans="2:16" x14ac:dyDescent="0.25">
      <c r="B16" s="89"/>
      <c r="C16" s="90"/>
      <c r="D16" s="91"/>
      <c r="F16" s="89"/>
      <c r="G16" s="90"/>
      <c r="H16" s="91"/>
      <c r="J16" s="89"/>
      <c r="K16" s="90"/>
      <c r="L16" s="91"/>
      <c r="N16" s="89"/>
      <c r="O16" s="90"/>
      <c r="P16" s="91"/>
    </row>
    <row r="17" spans="2:16" x14ac:dyDescent="0.25">
      <c r="B17" s="92"/>
      <c r="C17" s="93"/>
      <c r="D17" s="94"/>
      <c r="F17" s="92"/>
      <c r="G17" s="93"/>
      <c r="H17" s="94"/>
      <c r="J17" s="92"/>
      <c r="K17" s="93"/>
      <c r="L17" s="94"/>
      <c r="N17" s="92"/>
      <c r="O17" s="93"/>
      <c r="P17" s="94"/>
    </row>
    <row r="18" spans="2:16" ht="7.5" customHeight="1" x14ac:dyDescent="0.25"/>
    <row r="19" spans="2:16" hidden="1" x14ac:dyDescent="0.25"/>
    <row r="28" spans="2:16" ht="9.75" customHeight="1" x14ac:dyDescent="0.25"/>
  </sheetData>
  <mergeCells count="9">
    <mergeCell ref="C2:O2"/>
    <mergeCell ref="F13:H17"/>
    <mergeCell ref="J11:L12"/>
    <mergeCell ref="J13:L17"/>
    <mergeCell ref="N11:P12"/>
    <mergeCell ref="N13:P17"/>
    <mergeCell ref="B11:D12"/>
    <mergeCell ref="B13:D17"/>
    <mergeCell ref="F11:H12"/>
  </mergeCells>
  <phoneticPr fontId="4" type="noConversion"/>
  <conditionalFormatting sqref="D8:O9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13EF4-DA7E-43BC-A36E-E225F93E70A7}">
  <sheetPr codeName="Hoja7">
    <tabColor theme="6" tint="0.39997558519241921"/>
  </sheetPr>
  <dimension ref="A3:H16"/>
  <sheetViews>
    <sheetView workbookViewId="0">
      <selection activeCell="E10" sqref="E10"/>
    </sheetView>
  </sheetViews>
  <sheetFormatPr baseColWidth="10" defaultRowHeight="15" x14ac:dyDescent="0.25"/>
  <cols>
    <col min="1" max="1" width="17.5703125" bestFit="1" customWidth="1"/>
    <col min="2" max="2" width="15.7109375" bestFit="1" customWidth="1"/>
    <col min="3" max="3" width="5" customWidth="1"/>
    <col min="4" max="4" width="17.5703125" bestFit="1" customWidth="1"/>
    <col min="5" max="5" width="17.85546875" bestFit="1" customWidth="1"/>
    <col min="6" max="6" width="4.140625" customWidth="1"/>
    <col min="7" max="7" width="17.5703125" bestFit="1" customWidth="1"/>
    <col min="8" max="8" width="15" bestFit="1" customWidth="1"/>
  </cols>
  <sheetData>
    <row r="3" spans="1:8" x14ac:dyDescent="0.25">
      <c r="A3" s="57" t="s">
        <v>97</v>
      </c>
      <c r="B3" t="s">
        <v>103</v>
      </c>
      <c r="D3" s="57" t="s">
        <v>97</v>
      </c>
      <c r="E3" t="s">
        <v>121</v>
      </c>
      <c r="G3" s="57" t="s">
        <v>97</v>
      </c>
      <c r="H3" t="s">
        <v>112</v>
      </c>
    </row>
    <row r="4" spans="1:8" x14ac:dyDescent="0.25">
      <c r="A4" s="58" t="s">
        <v>114</v>
      </c>
      <c r="B4" s="103">
        <v>180</v>
      </c>
      <c r="D4" s="58" t="s">
        <v>99</v>
      </c>
      <c r="E4" s="103">
        <v>645</v>
      </c>
      <c r="G4" s="58" t="s">
        <v>114</v>
      </c>
      <c r="H4" s="103">
        <v>416</v>
      </c>
    </row>
    <row r="5" spans="1:8" x14ac:dyDescent="0.25">
      <c r="A5" s="58" t="s">
        <v>99</v>
      </c>
      <c r="B5" s="103">
        <v>225</v>
      </c>
      <c r="D5" s="58" t="s">
        <v>100</v>
      </c>
      <c r="E5" s="103">
        <v>160</v>
      </c>
      <c r="G5" s="58" t="s">
        <v>99</v>
      </c>
      <c r="H5" s="103">
        <v>614</v>
      </c>
    </row>
    <row r="6" spans="1:8" x14ac:dyDescent="0.25">
      <c r="A6" s="58" t="s">
        <v>100</v>
      </c>
      <c r="B6" s="103">
        <v>207</v>
      </c>
      <c r="D6" s="58" t="s">
        <v>116</v>
      </c>
      <c r="E6" s="103">
        <v>600</v>
      </c>
      <c r="G6" s="58" t="s">
        <v>100</v>
      </c>
      <c r="H6" s="103">
        <v>1291</v>
      </c>
    </row>
    <row r="7" spans="1:8" x14ac:dyDescent="0.25">
      <c r="A7" s="58" t="s">
        <v>101</v>
      </c>
      <c r="B7" s="103">
        <v>308.5</v>
      </c>
      <c r="D7" s="58" t="s">
        <v>117</v>
      </c>
      <c r="E7" s="103">
        <v>160</v>
      </c>
      <c r="G7" s="58" t="s">
        <v>101</v>
      </c>
      <c r="H7" s="103">
        <v>156</v>
      </c>
    </row>
    <row r="8" spans="1:8" x14ac:dyDescent="0.25">
      <c r="A8" s="58" t="s">
        <v>102</v>
      </c>
      <c r="B8" s="103">
        <v>353.5</v>
      </c>
      <c r="D8" s="58" t="s">
        <v>98</v>
      </c>
      <c r="E8" s="103">
        <v>1565</v>
      </c>
      <c r="G8" s="58" t="s">
        <v>102</v>
      </c>
      <c r="H8" s="103">
        <v>561</v>
      </c>
    </row>
    <row r="9" spans="1:8" x14ac:dyDescent="0.25">
      <c r="A9" s="58" t="s">
        <v>111</v>
      </c>
      <c r="B9" s="103">
        <v>368</v>
      </c>
      <c r="G9" s="58" t="s">
        <v>111</v>
      </c>
      <c r="H9" s="103">
        <v>571</v>
      </c>
    </row>
    <row r="10" spans="1:8" x14ac:dyDescent="0.25">
      <c r="A10" s="58" t="s">
        <v>115</v>
      </c>
      <c r="B10" s="103">
        <v>24</v>
      </c>
      <c r="G10" s="58" t="s">
        <v>115</v>
      </c>
      <c r="H10" s="103">
        <v>440</v>
      </c>
    </row>
    <row r="11" spans="1:8" x14ac:dyDescent="0.25">
      <c r="A11" s="58" t="s">
        <v>116</v>
      </c>
      <c r="B11" s="103">
        <v>300</v>
      </c>
      <c r="G11" s="58" t="s">
        <v>116</v>
      </c>
      <c r="H11" s="103">
        <v>352</v>
      </c>
    </row>
    <row r="12" spans="1:8" x14ac:dyDescent="0.25">
      <c r="A12" s="58" t="s">
        <v>117</v>
      </c>
      <c r="B12" s="103">
        <v>314</v>
      </c>
      <c r="G12" s="58" t="s">
        <v>117</v>
      </c>
      <c r="H12" s="103">
        <v>176</v>
      </c>
    </row>
    <row r="13" spans="1:8" x14ac:dyDescent="0.25">
      <c r="A13" s="58" t="s">
        <v>118</v>
      </c>
      <c r="B13" s="103">
        <v>304</v>
      </c>
      <c r="G13" s="58" t="s">
        <v>118</v>
      </c>
      <c r="H13" s="103">
        <v>506</v>
      </c>
    </row>
    <row r="14" spans="1:8" x14ac:dyDescent="0.25">
      <c r="A14" s="58" t="s">
        <v>119</v>
      </c>
      <c r="B14" s="103">
        <v>673</v>
      </c>
      <c r="G14" s="58" t="s">
        <v>119</v>
      </c>
      <c r="H14" s="103">
        <v>264</v>
      </c>
    </row>
    <row r="15" spans="1:8" x14ac:dyDescent="0.25">
      <c r="A15" s="58" t="s">
        <v>120</v>
      </c>
      <c r="B15" s="103">
        <v>250</v>
      </c>
      <c r="G15" s="58" t="s">
        <v>120</v>
      </c>
      <c r="H15" s="103">
        <v>597</v>
      </c>
    </row>
    <row r="16" spans="1:8" x14ac:dyDescent="0.25">
      <c r="A16" s="58" t="s">
        <v>98</v>
      </c>
      <c r="B16" s="103">
        <v>3507</v>
      </c>
      <c r="G16" s="58" t="s">
        <v>98</v>
      </c>
      <c r="H16" s="103">
        <v>5944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39AB6-8E19-4B36-9FB9-E46FD690A6A2}">
  <sheetPr codeName="Hoja8">
    <tabColor rgb="FFFF3399"/>
  </sheetPr>
  <dimension ref="C8:K41"/>
  <sheetViews>
    <sheetView topLeftCell="B8" workbookViewId="0">
      <selection activeCell="F20" sqref="F20"/>
    </sheetView>
  </sheetViews>
  <sheetFormatPr baseColWidth="10" defaultRowHeight="15" x14ac:dyDescent="0.25"/>
  <cols>
    <col min="4" max="4" width="31.140625" bestFit="1" customWidth="1"/>
    <col min="5" max="5" width="24.28515625" customWidth="1"/>
    <col min="6" max="6" width="25.5703125" customWidth="1"/>
    <col min="7" max="7" width="14.140625" customWidth="1"/>
    <col min="8" max="8" width="12.5703125" customWidth="1"/>
    <col min="11" max="11" width="22" customWidth="1"/>
  </cols>
  <sheetData>
    <row r="8" spans="3:11" ht="18.75" x14ac:dyDescent="0.3">
      <c r="C8" s="19" t="s">
        <v>2</v>
      </c>
      <c r="D8" s="20" t="s">
        <v>0</v>
      </c>
      <c r="E8" s="20" t="s">
        <v>9</v>
      </c>
      <c r="F8" s="20" t="s">
        <v>10</v>
      </c>
      <c r="G8" s="20" t="s">
        <v>1</v>
      </c>
      <c r="H8" s="20" t="s">
        <v>6</v>
      </c>
      <c r="I8" s="20" t="s">
        <v>7</v>
      </c>
      <c r="J8" s="21" t="s">
        <v>8</v>
      </c>
      <c r="K8" s="21" t="s">
        <v>11</v>
      </c>
    </row>
    <row r="9" spans="3:11" x14ac:dyDescent="0.25">
      <c r="C9" s="27" t="s">
        <v>20</v>
      </c>
      <c r="D9" s="28" t="s">
        <v>12</v>
      </c>
      <c r="E9" s="44">
        <v>15.5</v>
      </c>
      <c r="F9" s="42">
        <v>35</v>
      </c>
      <c r="G9" s="29" t="s">
        <v>69</v>
      </c>
      <c r="H9" s="8">
        <f ca="1">SUMIF(Entrada[],Inventario[[#This Row],[Código]],Entrada[Cantidad])</f>
        <v>46</v>
      </c>
      <c r="I9" s="8">
        <f ca="1">SUMIF(Salida[],Inventario[[#This Row],[Código]],Salida[Cantidad])</f>
        <v>24</v>
      </c>
      <c r="J9" s="8">
        <f ca="1">Inventario[[#This Row],[Entrada]]-Inventario[[#This Row],[Salida]]</f>
        <v>22</v>
      </c>
      <c r="K9" s="49">
        <f ca="1">Inventario[[#This Row],[Precio de Salida(S/)]]*Inventario[[#This Row],[Salida]]-Inventario[[#This Row],[Precio Entrada(S/)]]*Inventario[[#This Row],[Entrada]]</f>
        <v>127</v>
      </c>
    </row>
    <row r="10" spans="3:11" x14ac:dyDescent="0.25">
      <c r="C10" s="27" t="s">
        <v>21</v>
      </c>
      <c r="D10" s="28" t="s">
        <v>13</v>
      </c>
      <c r="E10" s="44">
        <v>16</v>
      </c>
      <c r="F10" s="42">
        <v>35</v>
      </c>
      <c r="G10" s="29" t="s">
        <v>69</v>
      </c>
      <c r="H10" s="8">
        <f ca="1">SUMIF(Entrada[],Inventario[[#This Row],[Código]],Entrada[Cantidad])</f>
        <v>14</v>
      </c>
      <c r="I10" s="8">
        <f ca="1">SUMIF(Salida[],Inventario[[#This Row],[Código]],Salida[Cantidad])</f>
        <v>7</v>
      </c>
      <c r="J10" s="8">
        <f ca="1">Inventario[[#This Row],[Entrada]]-Inventario[[#This Row],[Salida]]</f>
        <v>7</v>
      </c>
      <c r="K10" s="49">
        <f ca="1">Inventario[[#This Row],[Precio de Salida(S/)]]*Inventario[[#This Row],[Salida]]-Inventario[[#This Row],[Precio Entrada(S/)]]*Inventario[[#This Row],[Entrada]]</f>
        <v>21</v>
      </c>
    </row>
    <row r="11" spans="3:11" x14ac:dyDescent="0.25">
      <c r="C11" s="27" t="s">
        <v>22</v>
      </c>
      <c r="D11" s="28" t="s">
        <v>14</v>
      </c>
      <c r="E11" s="44">
        <v>11.5</v>
      </c>
      <c r="F11" s="42">
        <v>25</v>
      </c>
      <c r="G11" s="29" t="s">
        <v>69</v>
      </c>
      <c r="H11" s="8">
        <f ca="1">SUMIF(Entrada[],Inventario[[#This Row],[Código]],Entrada[Cantidad])</f>
        <v>16</v>
      </c>
      <c r="I11" s="8">
        <f ca="1">SUMIF(Salida[],Inventario[[#This Row],[Código]],Salida[Cantidad])</f>
        <v>11</v>
      </c>
      <c r="J11" s="8">
        <f ca="1">Inventario[[#This Row],[Entrada]]-Inventario[[#This Row],[Salida]]</f>
        <v>5</v>
      </c>
      <c r="K11" s="49">
        <f ca="1">Inventario[[#This Row],[Precio de Salida(S/)]]*Inventario[[#This Row],[Salida]]-Inventario[[#This Row],[Precio Entrada(S/)]]*Inventario[[#This Row],[Entrada]]</f>
        <v>91</v>
      </c>
    </row>
    <row r="12" spans="3:11" x14ac:dyDescent="0.25">
      <c r="C12" s="27" t="s">
        <v>23</v>
      </c>
      <c r="D12" s="28" t="s">
        <v>74</v>
      </c>
      <c r="E12" s="44">
        <v>11.5</v>
      </c>
      <c r="F12" s="42">
        <v>25</v>
      </c>
      <c r="G12" s="29" t="s">
        <v>69</v>
      </c>
      <c r="H12" s="8">
        <f ca="1">SUMIF(Entrada[],Inventario[[#This Row],[Código]],Entrada[Cantidad])</f>
        <v>13</v>
      </c>
      <c r="I12" s="8">
        <f ca="1">SUMIF(Salida[],Inventario[[#This Row],[Código]],Salida[Cantidad])</f>
        <v>3</v>
      </c>
      <c r="J12" s="8">
        <f ca="1">Inventario[[#This Row],[Entrada]]-Inventario[[#This Row],[Salida]]</f>
        <v>10</v>
      </c>
      <c r="K12" s="49">
        <f ca="1">Inventario[[#This Row],[Precio de Salida(S/)]]*Inventario[[#This Row],[Salida]]-Inventario[[#This Row],[Precio Entrada(S/)]]*Inventario[[#This Row],[Entrada]]</f>
        <v>-74.5</v>
      </c>
    </row>
    <row r="13" spans="3:11" x14ac:dyDescent="0.25">
      <c r="C13" s="27" t="s">
        <v>28</v>
      </c>
      <c r="D13" s="28" t="s">
        <v>15</v>
      </c>
      <c r="E13" s="44">
        <v>9</v>
      </c>
      <c r="F13" s="42">
        <v>19</v>
      </c>
      <c r="G13" s="29" t="s">
        <v>69</v>
      </c>
      <c r="H13" s="8">
        <f ca="1">SUMIF(Entrada[],Inventario[[#This Row],[Código]],Entrada[Cantidad])</f>
        <v>10</v>
      </c>
      <c r="I13" s="8">
        <f ca="1">SUMIF(Salida[],Inventario[[#This Row],[Código]],Salida[Cantidad])</f>
        <v>7</v>
      </c>
      <c r="J13" s="8">
        <f ca="1">Inventario[[#This Row],[Entrada]]-Inventario[[#This Row],[Salida]]</f>
        <v>3</v>
      </c>
      <c r="K13" s="49">
        <f ca="1">Inventario[[#This Row],[Precio de Salida(S/)]]*Inventario[[#This Row],[Salida]]-Inventario[[#This Row],[Precio Entrada(S/)]]*Inventario[[#This Row],[Entrada]]</f>
        <v>43</v>
      </c>
    </row>
    <row r="14" spans="3:11" x14ac:dyDescent="0.25">
      <c r="C14" s="27" t="s">
        <v>24</v>
      </c>
      <c r="D14" s="28" t="s">
        <v>16</v>
      </c>
      <c r="E14" s="44">
        <v>9</v>
      </c>
      <c r="F14" s="42">
        <v>19</v>
      </c>
      <c r="G14" s="29" t="s">
        <v>69</v>
      </c>
      <c r="H14" s="8">
        <f ca="1">SUMIF(Entrada[],Inventario[[#This Row],[Código]],Entrada[Cantidad])</f>
        <v>8</v>
      </c>
      <c r="I14" s="8">
        <f ca="1">SUMIF(Salida[],Inventario[[#This Row],[Código]],Salida[Cantidad])</f>
        <v>3</v>
      </c>
      <c r="J14" s="8">
        <f ca="1">Inventario[[#This Row],[Entrada]]-Inventario[[#This Row],[Salida]]</f>
        <v>5</v>
      </c>
      <c r="K14" s="49">
        <f ca="1">Inventario[[#This Row],[Precio de Salida(S/)]]*Inventario[[#This Row],[Salida]]-Inventario[[#This Row],[Precio Entrada(S/)]]*Inventario[[#This Row],[Entrada]]</f>
        <v>-15</v>
      </c>
    </row>
    <row r="15" spans="3:11" x14ac:dyDescent="0.25">
      <c r="C15" s="27" t="s">
        <v>25</v>
      </c>
      <c r="D15" s="28" t="s">
        <v>17</v>
      </c>
      <c r="E15" s="44">
        <v>9</v>
      </c>
      <c r="F15" s="42">
        <v>19</v>
      </c>
      <c r="G15" s="29" t="s">
        <v>69</v>
      </c>
      <c r="H15" s="8">
        <f ca="1">SUMIF(Entrada[],Inventario[[#This Row],[Código]],Entrada[Cantidad])</f>
        <v>17</v>
      </c>
      <c r="I15" s="8">
        <f ca="1">SUMIF(Salida[],Inventario[[#This Row],[Código]],Salida[Cantidad])</f>
        <v>7</v>
      </c>
      <c r="J15" s="8">
        <f ca="1">Inventario[[#This Row],[Entrada]]-Inventario[[#This Row],[Salida]]</f>
        <v>10</v>
      </c>
      <c r="K15" s="49">
        <f ca="1">Inventario[[#This Row],[Precio de Salida(S/)]]*Inventario[[#This Row],[Salida]]-Inventario[[#This Row],[Precio Entrada(S/)]]*Inventario[[#This Row],[Entrada]]</f>
        <v>-20</v>
      </c>
    </row>
    <row r="16" spans="3:11" x14ac:dyDescent="0.25">
      <c r="C16" s="27" t="s">
        <v>26</v>
      </c>
      <c r="D16" s="28" t="s">
        <v>19</v>
      </c>
      <c r="E16" s="44">
        <v>9</v>
      </c>
      <c r="F16" s="42">
        <v>19</v>
      </c>
      <c r="G16" s="29" t="s">
        <v>69</v>
      </c>
      <c r="H16" s="8">
        <f ca="1">SUMIF(Entrada[],Inventario[[#This Row],[Código]],Entrada[Cantidad])</f>
        <v>9</v>
      </c>
      <c r="I16" s="8">
        <f ca="1">SUMIF(Salida[],Inventario[[#This Row],[Código]],Salida[Cantidad])</f>
        <v>6</v>
      </c>
      <c r="J16" s="8">
        <f ca="1">Inventario[[#This Row],[Entrada]]-Inventario[[#This Row],[Salida]]</f>
        <v>3</v>
      </c>
      <c r="K16" s="49">
        <f ca="1">Inventario[[#This Row],[Precio de Salida(S/)]]*Inventario[[#This Row],[Salida]]-Inventario[[#This Row],[Precio Entrada(S/)]]*Inventario[[#This Row],[Entrada]]</f>
        <v>33</v>
      </c>
    </row>
    <row r="17" spans="3:11" x14ac:dyDescent="0.25">
      <c r="C17" s="27" t="s">
        <v>27</v>
      </c>
      <c r="D17" s="28" t="s">
        <v>18</v>
      </c>
      <c r="E17" s="44">
        <v>9</v>
      </c>
      <c r="F17" s="42">
        <v>19</v>
      </c>
      <c r="G17" s="29" t="s">
        <v>69</v>
      </c>
      <c r="H17" s="8">
        <f ca="1">SUMIF(Entrada[],Inventario[[#This Row],[Código]],Entrada[Cantidad])</f>
        <v>9</v>
      </c>
      <c r="I17" s="8">
        <f ca="1">SUMIF(Salida[],Inventario[[#This Row],[Código]],Salida[Cantidad])</f>
        <v>6</v>
      </c>
      <c r="J17" s="8">
        <f ca="1">Inventario[[#This Row],[Entrada]]-Inventario[[#This Row],[Salida]]</f>
        <v>3</v>
      </c>
      <c r="K17" s="49">
        <f ca="1">Inventario[[#This Row],[Precio de Salida(S/)]]*Inventario[[#This Row],[Salida]]-Inventario[[#This Row],[Precio Entrada(S/)]]*Inventario[[#This Row],[Entrada]]</f>
        <v>33</v>
      </c>
    </row>
    <row r="18" spans="3:11" x14ac:dyDescent="0.25">
      <c r="C18" s="36" t="s">
        <v>29</v>
      </c>
      <c r="D18" s="37" t="s">
        <v>31</v>
      </c>
      <c r="E18" s="45">
        <v>12.5</v>
      </c>
      <c r="F18" s="43">
        <v>27</v>
      </c>
      <c r="G18" s="38" t="s">
        <v>70</v>
      </c>
      <c r="H18" s="8">
        <f ca="1">SUMIF(Entrada[],Inventario[[#This Row],[Código]],Entrada[Cantidad])</f>
        <v>9</v>
      </c>
      <c r="I18" s="8">
        <f ca="1">SUMIF(Salida[],Inventario[[#This Row],[Código]],Salida[Cantidad])</f>
        <v>11</v>
      </c>
      <c r="J18" s="8">
        <f ca="1">Inventario[[#This Row],[Entrada]]-Inventario[[#This Row],[Salida]]</f>
        <v>-2</v>
      </c>
      <c r="K18" s="49">
        <f ca="1">Inventario[[#This Row],[Precio de Salida(S/)]]*Inventario[[#This Row],[Salida]]-Inventario[[#This Row],[Precio Entrada(S/)]]*Inventario[[#This Row],[Entrada]]</f>
        <v>184.5</v>
      </c>
    </row>
    <row r="19" spans="3:11" x14ac:dyDescent="0.25">
      <c r="C19" s="36" t="s">
        <v>30</v>
      </c>
      <c r="D19" s="37" t="s">
        <v>32</v>
      </c>
      <c r="E19" s="45">
        <v>12.5</v>
      </c>
      <c r="F19" s="43">
        <v>27</v>
      </c>
      <c r="G19" s="38" t="s">
        <v>70</v>
      </c>
      <c r="H19" s="8">
        <f ca="1">SUMIF(Entrada[],Inventario[[#This Row],[Código]],Entrada[Cantidad])</f>
        <v>9</v>
      </c>
      <c r="I19" s="8">
        <f ca="1">SUMIF(Salida[],Inventario[[#This Row],[Código]],Salida[Cantidad])</f>
        <v>3</v>
      </c>
      <c r="J19" s="8">
        <f ca="1">Inventario[[#This Row],[Entrada]]-Inventario[[#This Row],[Salida]]</f>
        <v>6</v>
      </c>
      <c r="K19" s="49">
        <f ca="1">Inventario[[#This Row],[Precio de Salida(S/)]]*Inventario[[#This Row],[Salida]]-Inventario[[#This Row],[Precio Entrada(S/)]]*Inventario[[#This Row],[Entrada]]</f>
        <v>-31.5</v>
      </c>
    </row>
    <row r="20" spans="3:11" x14ac:dyDescent="0.25">
      <c r="C20" s="36" t="s">
        <v>33</v>
      </c>
      <c r="D20" s="37" t="s">
        <v>34</v>
      </c>
      <c r="E20" s="45">
        <v>15.5</v>
      </c>
      <c r="F20" s="43">
        <v>35</v>
      </c>
      <c r="G20" s="38" t="s">
        <v>70</v>
      </c>
      <c r="H20" s="8">
        <f ca="1">SUMIF(Entrada[],Inventario[[#This Row],[Código]],Entrada[Cantidad])</f>
        <v>0</v>
      </c>
      <c r="I20" s="8">
        <f ca="1">SUMIF(Salida[],Inventario[[#This Row],[Código]],Salida[Cantidad])</f>
        <v>0</v>
      </c>
      <c r="J20" s="8">
        <f ca="1">Inventario[[#This Row],[Entrada]]-Inventario[[#This Row],[Salida]]</f>
        <v>0</v>
      </c>
      <c r="K20" s="49">
        <f ca="1">Inventario[[#This Row],[Precio de Salida(S/)]]*Inventario[[#This Row],[Salida]]-Inventario[[#This Row],[Precio Entrada(S/)]]*Inventario[[#This Row],[Entrada]]</f>
        <v>0</v>
      </c>
    </row>
    <row r="21" spans="3:11" x14ac:dyDescent="0.25">
      <c r="C21" s="36" t="s">
        <v>51</v>
      </c>
      <c r="D21" s="37" t="s">
        <v>35</v>
      </c>
      <c r="E21" s="45">
        <v>15.5</v>
      </c>
      <c r="F21" s="43">
        <v>35</v>
      </c>
      <c r="G21" s="38" t="s">
        <v>70</v>
      </c>
      <c r="H21" s="8">
        <f ca="1">SUMIF(Entrada[],Inventario[[#This Row],[Código]],Entrada[Cantidad])</f>
        <v>0</v>
      </c>
      <c r="I21" s="8">
        <f ca="1">SUMIF(Salida[],Inventario[[#This Row],[Código]],Salida[Cantidad])</f>
        <v>0</v>
      </c>
      <c r="J21" s="8">
        <f ca="1">Inventario[[#This Row],[Entrada]]-Inventario[[#This Row],[Salida]]</f>
        <v>0</v>
      </c>
      <c r="K21" s="49">
        <f ca="1">Inventario[[#This Row],[Precio de Salida(S/)]]*Inventario[[#This Row],[Salida]]-Inventario[[#This Row],[Precio Entrada(S/)]]*Inventario[[#This Row],[Entrada]]</f>
        <v>0</v>
      </c>
    </row>
    <row r="22" spans="3:11" x14ac:dyDescent="0.25">
      <c r="C22" s="36" t="s">
        <v>52</v>
      </c>
      <c r="D22" s="37" t="s">
        <v>36</v>
      </c>
      <c r="E22" s="45">
        <v>9.5</v>
      </c>
      <c r="F22" s="43">
        <v>20</v>
      </c>
      <c r="G22" s="38" t="s">
        <v>70</v>
      </c>
      <c r="H22" s="8">
        <f ca="1">SUMIF(Entrada[],Inventario[[#This Row],[Código]],Entrada[Cantidad])</f>
        <v>15</v>
      </c>
      <c r="I22" s="8">
        <f ca="1">SUMIF(Salida[],Inventario[[#This Row],[Código]],Salida[Cantidad])</f>
        <v>2</v>
      </c>
      <c r="J22" s="8">
        <f ca="1">Inventario[[#This Row],[Entrada]]-Inventario[[#This Row],[Salida]]</f>
        <v>13</v>
      </c>
      <c r="K22" s="49">
        <f ca="1">Inventario[[#This Row],[Precio de Salida(S/)]]*Inventario[[#This Row],[Salida]]-Inventario[[#This Row],[Precio Entrada(S/)]]*Inventario[[#This Row],[Entrada]]</f>
        <v>-102.5</v>
      </c>
    </row>
    <row r="23" spans="3:11" x14ac:dyDescent="0.25">
      <c r="C23" s="36" t="s">
        <v>53</v>
      </c>
      <c r="D23" s="37" t="s">
        <v>37</v>
      </c>
      <c r="E23" s="45">
        <v>9.5</v>
      </c>
      <c r="F23" s="43">
        <v>20</v>
      </c>
      <c r="G23" s="38" t="s">
        <v>70</v>
      </c>
      <c r="H23" s="8">
        <f ca="1">SUMIF(Entrada[],Inventario[[#This Row],[Código]],Entrada[Cantidad])</f>
        <v>12</v>
      </c>
      <c r="I23" s="8">
        <f ca="1">SUMIF(Salida[],Inventario[[#This Row],[Código]],Salida[Cantidad])</f>
        <v>8</v>
      </c>
      <c r="J23" s="8">
        <f ca="1">Inventario[[#This Row],[Entrada]]-Inventario[[#This Row],[Salida]]</f>
        <v>4</v>
      </c>
      <c r="K23" s="49">
        <f ca="1">Inventario[[#This Row],[Precio de Salida(S/)]]*Inventario[[#This Row],[Salida]]-Inventario[[#This Row],[Precio Entrada(S/)]]*Inventario[[#This Row],[Entrada]]</f>
        <v>46</v>
      </c>
    </row>
    <row r="24" spans="3:11" x14ac:dyDescent="0.25">
      <c r="C24" s="36" t="s">
        <v>54</v>
      </c>
      <c r="D24" s="37" t="s">
        <v>75</v>
      </c>
      <c r="E24" s="45">
        <v>9.5</v>
      </c>
      <c r="F24" s="43">
        <v>22</v>
      </c>
      <c r="G24" s="38" t="s">
        <v>70</v>
      </c>
      <c r="H24" s="8">
        <f ca="1">SUMIF(Entrada[],Inventario[[#This Row],[Código]],Entrada[Cantidad])</f>
        <v>0</v>
      </c>
      <c r="I24" s="8">
        <f ca="1">SUMIF(Salida[],Inventario[[#This Row],[Código]],Salida[Cantidad])</f>
        <v>24</v>
      </c>
      <c r="J24" s="8">
        <f ca="1">Inventario[[#This Row],[Entrada]]-Inventario[[#This Row],[Salida]]</f>
        <v>-24</v>
      </c>
      <c r="K24" s="49">
        <f ca="1">Inventario[[#This Row],[Precio de Salida(S/)]]*Inventario[[#This Row],[Salida]]-Inventario[[#This Row],[Precio Entrada(S/)]]*Inventario[[#This Row],[Entrada]]</f>
        <v>528</v>
      </c>
    </row>
    <row r="25" spans="3:11" x14ac:dyDescent="0.25">
      <c r="C25" s="36" t="s">
        <v>55</v>
      </c>
      <c r="D25" s="37" t="s">
        <v>38</v>
      </c>
      <c r="E25" s="45">
        <v>13.5</v>
      </c>
      <c r="F25" s="43">
        <v>27</v>
      </c>
      <c r="G25" s="38" t="s">
        <v>70</v>
      </c>
      <c r="H25" s="8">
        <f ca="1">SUMIF(Entrada[],Inventario[[#This Row],[Código]],Entrada[Cantidad])</f>
        <v>0</v>
      </c>
      <c r="I25" s="8">
        <f ca="1">SUMIF(Salida[],Inventario[[#This Row],[Código]],Salida[Cantidad])</f>
        <v>11</v>
      </c>
      <c r="J25" s="8">
        <f ca="1">Inventario[[#This Row],[Entrada]]-Inventario[[#This Row],[Salida]]</f>
        <v>-11</v>
      </c>
      <c r="K25" s="49">
        <f ca="1">Inventario[[#This Row],[Precio de Salida(S/)]]*Inventario[[#This Row],[Salida]]-Inventario[[#This Row],[Precio Entrada(S/)]]*Inventario[[#This Row],[Entrada]]</f>
        <v>297</v>
      </c>
    </row>
    <row r="26" spans="3:11" x14ac:dyDescent="0.25">
      <c r="C26" s="36" t="s">
        <v>56</v>
      </c>
      <c r="D26" s="37" t="s">
        <v>39</v>
      </c>
      <c r="E26" s="45">
        <v>25</v>
      </c>
      <c r="F26" s="43">
        <v>40</v>
      </c>
      <c r="G26" s="38" t="s">
        <v>70</v>
      </c>
      <c r="H26" s="8">
        <f ca="1">SUMIF(Entrada[],Inventario[[#This Row],[Código]],Entrada[Cantidad])</f>
        <v>0</v>
      </c>
      <c r="I26" s="8">
        <f ca="1">SUMIF(Salida[],Inventario[[#This Row],[Código]],Salida[Cantidad])</f>
        <v>11</v>
      </c>
      <c r="J26" s="8">
        <f ca="1">Inventario[[#This Row],[Entrada]]-Inventario[[#This Row],[Salida]]</f>
        <v>-11</v>
      </c>
      <c r="K26" s="49">
        <f ca="1">Inventario[[#This Row],[Precio de Salida(S/)]]*Inventario[[#This Row],[Salida]]-Inventario[[#This Row],[Precio Entrada(S/)]]*Inventario[[#This Row],[Entrada]]</f>
        <v>440</v>
      </c>
    </row>
    <row r="27" spans="3:11" x14ac:dyDescent="0.25">
      <c r="C27" s="36" t="s">
        <v>57</v>
      </c>
      <c r="D27" s="37" t="s">
        <v>40</v>
      </c>
      <c r="E27" s="45">
        <v>8</v>
      </c>
      <c r="F27" s="43">
        <v>17</v>
      </c>
      <c r="G27" s="38" t="s">
        <v>70</v>
      </c>
      <c r="H27" s="8">
        <f ca="1">SUMIF(Entrada[],Inventario[[#This Row],[Código]],Entrada[Cantidad])</f>
        <v>12</v>
      </c>
      <c r="I27" s="8">
        <f ca="1">SUMIF(Salida[],Inventario[[#This Row],[Código]],Salida[Cantidad])</f>
        <v>0</v>
      </c>
      <c r="J27" s="8">
        <f ca="1">Inventario[[#This Row],[Entrada]]-Inventario[[#This Row],[Salida]]</f>
        <v>12</v>
      </c>
      <c r="K27" s="49">
        <f ca="1">Inventario[[#This Row],[Precio de Salida(S/)]]*Inventario[[#This Row],[Salida]]-Inventario[[#This Row],[Precio Entrada(S/)]]*Inventario[[#This Row],[Entrada]]</f>
        <v>-96</v>
      </c>
    </row>
    <row r="28" spans="3:11" x14ac:dyDescent="0.25">
      <c r="C28" s="36" t="s">
        <v>58</v>
      </c>
      <c r="D28" s="37" t="s">
        <v>41</v>
      </c>
      <c r="E28" s="45">
        <v>9</v>
      </c>
      <c r="F28" s="43">
        <v>20</v>
      </c>
      <c r="G28" s="38" t="s">
        <v>70</v>
      </c>
      <c r="H28" s="8">
        <f ca="1">SUMIF(Entrada[],Inventario[[#This Row],[Código]],Entrada[Cantidad])</f>
        <v>0</v>
      </c>
      <c r="I28" s="8">
        <f ca="1">SUMIF(Salida[],Inventario[[#This Row],[Código]],Salida[Cantidad])</f>
        <v>0</v>
      </c>
      <c r="J28" s="8">
        <f ca="1">Inventario[[#This Row],[Entrada]]-Inventario[[#This Row],[Salida]]</f>
        <v>0</v>
      </c>
      <c r="K28" s="49">
        <f ca="1">Inventario[[#This Row],[Precio de Salida(S/)]]*Inventario[[#This Row],[Salida]]-Inventario[[#This Row],[Precio Entrada(S/)]]*Inventario[[#This Row],[Entrada]]</f>
        <v>0</v>
      </c>
    </row>
    <row r="29" spans="3:11" x14ac:dyDescent="0.25">
      <c r="C29" s="36" t="s">
        <v>59</v>
      </c>
      <c r="D29" s="37" t="s">
        <v>42</v>
      </c>
      <c r="E29" s="45">
        <v>15</v>
      </c>
      <c r="F29" s="43">
        <v>30</v>
      </c>
      <c r="G29" s="38" t="s">
        <v>70</v>
      </c>
      <c r="H29" s="8">
        <f ca="1">SUMIF(Entrada[],Inventario[[#This Row],[Código]],Entrada[Cantidad])</f>
        <v>0</v>
      </c>
      <c r="I29" s="8">
        <f ca="1">SUMIF(Salida[],Inventario[[#This Row],[Código]],Salida[Cantidad])</f>
        <v>29</v>
      </c>
      <c r="J29" s="8">
        <f ca="1">Inventario[[#This Row],[Entrada]]-Inventario[[#This Row],[Salida]]</f>
        <v>-29</v>
      </c>
      <c r="K29" s="49">
        <f ca="1">Inventario[[#This Row],[Precio de Salida(S/)]]*Inventario[[#This Row],[Salida]]-Inventario[[#This Row],[Precio Entrada(S/)]]*Inventario[[#This Row],[Entrada]]</f>
        <v>870</v>
      </c>
    </row>
    <row r="30" spans="3:11" x14ac:dyDescent="0.25">
      <c r="C30" s="36" t="s">
        <v>60</v>
      </c>
      <c r="D30" s="37" t="s">
        <v>47</v>
      </c>
      <c r="E30" s="45">
        <v>9.5</v>
      </c>
      <c r="F30" s="43">
        <v>22</v>
      </c>
      <c r="G30" s="38" t="s">
        <v>70</v>
      </c>
      <c r="H30" s="8">
        <f ca="1">SUMIF(Entrada[],Inventario[[#This Row],[Código]],Entrada[Cantidad])</f>
        <v>0</v>
      </c>
      <c r="I30" s="8">
        <f ca="1">SUMIF(Salida[],Inventario[[#This Row],[Código]],Salida[Cantidad])</f>
        <v>22</v>
      </c>
      <c r="J30" s="8">
        <f ca="1">Inventario[[#This Row],[Entrada]]-Inventario[[#This Row],[Salida]]</f>
        <v>-22</v>
      </c>
      <c r="K30" s="49">
        <f ca="1">Inventario[[#This Row],[Precio de Salida(S/)]]*Inventario[[#This Row],[Salida]]-Inventario[[#This Row],[Precio Entrada(S/)]]*Inventario[[#This Row],[Entrada]]</f>
        <v>484</v>
      </c>
    </row>
    <row r="31" spans="3:11" x14ac:dyDescent="0.25">
      <c r="C31" s="30" t="s">
        <v>61</v>
      </c>
      <c r="D31" s="31" t="s">
        <v>44</v>
      </c>
      <c r="E31" s="46">
        <v>9</v>
      </c>
      <c r="F31" s="31">
        <v>24</v>
      </c>
      <c r="G31" s="32" t="s">
        <v>71</v>
      </c>
      <c r="H31" s="8">
        <f ca="1">SUMIF(Entrada[],Inventario[[#This Row],[Código]],Entrada[Cantidad])</f>
        <v>9</v>
      </c>
      <c r="I31" s="8">
        <f ca="1">SUMIF(Salida[],Inventario[[#This Row],[Código]],Salida[Cantidad])</f>
        <v>1</v>
      </c>
      <c r="J31" s="8">
        <f ca="1">Inventario[[#This Row],[Entrada]]-Inventario[[#This Row],[Salida]]</f>
        <v>8</v>
      </c>
      <c r="K31" s="49">
        <f ca="1">Inventario[[#This Row],[Precio de Salida(S/)]]*Inventario[[#This Row],[Salida]]-Inventario[[#This Row],[Precio Entrada(S/)]]*Inventario[[#This Row],[Entrada]]</f>
        <v>-57</v>
      </c>
    </row>
    <row r="32" spans="3:11" x14ac:dyDescent="0.25">
      <c r="C32" s="30" t="s">
        <v>62</v>
      </c>
      <c r="D32" s="31" t="s">
        <v>43</v>
      </c>
      <c r="E32" s="46">
        <v>9</v>
      </c>
      <c r="F32" s="31">
        <v>24</v>
      </c>
      <c r="G32" s="32" t="s">
        <v>71</v>
      </c>
      <c r="H32" s="8">
        <f ca="1">SUMIF(Entrada[],Inventario[[#This Row],[Código]],Entrada[Cantidad])</f>
        <v>0</v>
      </c>
      <c r="I32" s="8">
        <f ca="1">SUMIF(Salida[],Inventario[[#This Row],[Código]],Salida[Cantidad])</f>
        <v>19</v>
      </c>
      <c r="J32" s="8">
        <f ca="1">Inventario[[#This Row],[Entrada]]-Inventario[[#This Row],[Salida]]</f>
        <v>-19</v>
      </c>
      <c r="K32" s="49">
        <f ca="1">Inventario[[#This Row],[Precio de Salida(S/)]]*Inventario[[#This Row],[Salida]]-Inventario[[#This Row],[Precio Entrada(S/)]]*Inventario[[#This Row],[Entrada]]</f>
        <v>456</v>
      </c>
    </row>
    <row r="33" spans="3:11" x14ac:dyDescent="0.25">
      <c r="C33" s="30" t="s">
        <v>63</v>
      </c>
      <c r="D33" s="31" t="s">
        <v>45</v>
      </c>
      <c r="E33" s="46">
        <v>9</v>
      </c>
      <c r="F33" s="31">
        <v>17</v>
      </c>
      <c r="G33" s="32" t="s">
        <v>71</v>
      </c>
      <c r="H33" s="8">
        <f ca="1">SUMIF(Entrada[],Inventario[[#This Row],[Código]],Entrada[Cantidad])</f>
        <v>12</v>
      </c>
      <c r="I33" s="8">
        <f ca="1">SUMIF(Salida[],Inventario[[#This Row],[Código]],Salida[Cantidad])</f>
        <v>0</v>
      </c>
      <c r="J33" s="8">
        <f ca="1">Inventario[[#This Row],[Entrada]]-Inventario[[#This Row],[Salida]]</f>
        <v>12</v>
      </c>
      <c r="K33" s="49">
        <f ca="1">Inventario[[#This Row],[Precio de Salida(S/)]]*Inventario[[#This Row],[Salida]]-Inventario[[#This Row],[Precio Entrada(S/)]]*Inventario[[#This Row],[Entrada]]</f>
        <v>-108</v>
      </c>
    </row>
    <row r="34" spans="3:11" x14ac:dyDescent="0.25">
      <c r="C34" s="30" t="s">
        <v>64</v>
      </c>
      <c r="D34" s="31" t="s">
        <v>46</v>
      </c>
      <c r="E34" s="46">
        <v>9</v>
      </c>
      <c r="F34" s="31">
        <v>22</v>
      </c>
      <c r="G34" s="32" t="s">
        <v>71</v>
      </c>
      <c r="H34" s="8">
        <f ca="1">SUMIF(Entrada[],Inventario[[#This Row],[Código]],Entrada[Cantidad])</f>
        <v>12</v>
      </c>
      <c r="I34" s="8">
        <f ca="1">SUMIF(Salida[],Inventario[[#This Row],[Código]],Salida[Cantidad])</f>
        <v>0</v>
      </c>
      <c r="J34" s="8">
        <f ca="1">Inventario[[#This Row],[Entrada]]-Inventario[[#This Row],[Salida]]</f>
        <v>12</v>
      </c>
      <c r="K34" s="49">
        <f ca="1">Inventario[[#This Row],[Precio de Salida(S/)]]*Inventario[[#This Row],[Salida]]-Inventario[[#This Row],[Precio Entrada(S/)]]*Inventario[[#This Row],[Entrada]]</f>
        <v>-108</v>
      </c>
    </row>
    <row r="35" spans="3:11" x14ac:dyDescent="0.25">
      <c r="C35" s="33" t="s">
        <v>66</v>
      </c>
      <c r="D35" s="34" t="s">
        <v>48</v>
      </c>
      <c r="E35" s="47">
        <v>20</v>
      </c>
      <c r="F35" s="34">
        <v>35</v>
      </c>
      <c r="G35" s="35" t="s">
        <v>72</v>
      </c>
      <c r="H35" s="8">
        <f ca="1">SUMIF(Entrada[],Inventario[[#This Row],[Código]],Entrada[Cantidad])</f>
        <v>32</v>
      </c>
      <c r="I35" s="8">
        <f ca="1">SUMIF(Salida[],Inventario[[#This Row],[Código]],Salida[Cantidad])</f>
        <v>8</v>
      </c>
      <c r="J35" s="8">
        <f ca="1">Inventario[[#This Row],[Entrada]]-Inventario[[#This Row],[Salida]]</f>
        <v>24</v>
      </c>
      <c r="K35" s="49">
        <f ca="1">Inventario[[#This Row],[Precio de Salida(S/)]]*Inventario[[#This Row],[Salida]]-Inventario[[#This Row],[Precio Entrada(S/)]]*Inventario[[#This Row],[Entrada]]</f>
        <v>-360</v>
      </c>
    </row>
    <row r="36" spans="3:11" x14ac:dyDescent="0.25">
      <c r="C36" s="33" t="s">
        <v>65</v>
      </c>
      <c r="D36" s="34" t="s">
        <v>49</v>
      </c>
      <c r="E36" s="47">
        <v>6</v>
      </c>
      <c r="F36" s="34">
        <v>10</v>
      </c>
      <c r="G36" s="35" t="s">
        <v>72</v>
      </c>
      <c r="H36" s="8">
        <f ca="1">SUMIF(Entrada[],Inventario[[#This Row],[Código]],Entrada[Cantidad])</f>
        <v>15</v>
      </c>
      <c r="I36" s="8">
        <f ca="1">SUMIF(Salida[],Inventario[[#This Row],[Código]],Salida[Cantidad])</f>
        <v>0</v>
      </c>
      <c r="J36" s="8">
        <f ca="1">Inventario[[#This Row],[Entrada]]-Inventario[[#This Row],[Salida]]</f>
        <v>15</v>
      </c>
      <c r="K36" s="49">
        <f ca="1">Inventario[[#This Row],[Precio de Salida(S/)]]*Inventario[[#This Row],[Salida]]-Inventario[[#This Row],[Precio Entrada(S/)]]*Inventario[[#This Row],[Entrada]]</f>
        <v>-90</v>
      </c>
    </row>
    <row r="37" spans="3:11" x14ac:dyDescent="0.25">
      <c r="C37" s="2" t="s">
        <v>67</v>
      </c>
      <c r="D37" s="1" t="s">
        <v>50</v>
      </c>
      <c r="E37" s="48">
        <v>2</v>
      </c>
      <c r="F37" s="1">
        <v>5</v>
      </c>
      <c r="G37" s="4" t="s">
        <v>73</v>
      </c>
      <c r="H37" s="8">
        <f ca="1">SUMIF(Entrada[],Inventario[[#This Row],[Código]],Entrada[Cantidad])</f>
        <v>12</v>
      </c>
      <c r="I37" s="8">
        <f ca="1">SUMIF(Salida[],Inventario[[#This Row],[Código]],Salida[Cantidad])</f>
        <v>0</v>
      </c>
      <c r="J37" s="8">
        <f ca="1">Inventario[[#This Row],[Entrada]]-Inventario[[#This Row],[Salida]]</f>
        <v>12</v>
      </c>
      <c r="K37" s="49">
        <f ca="1">Inventario[[#This Row],[Precio de Salida(S/)]]*Inventario[[#This Row],[Salida]]-Inventario[[#This Row],[Precio Entrada(S/)]]*Inventario[[#This Row],[Entrada]]</f>
        <v>-24</v>
      </c>
    </row>
    <row r="38" spans="3:11" x14ac:dyDescent="0.25">
      <c r="C38" s="2"/>
      <c r="D38" s="1"/>
      <c r="E38" s="1"/>
      <c r="F38" s="3"/>
      <c r="G38" s="1"/>
      <c r="H38" s="8">
        <f ca="1">SUMIF(Entrada[],Inventario[[#This Row],[Código]],Entrada[Cantidad])</f>
        <v>0</v>
      </c>
      <c r="I38" s="8">
        <f ca="1">SUMIF(Salida[],Inventario[[#This Row],[Código]],Salida[Cantidad])</f>
        <v>0</v>
      </c>
      <c r="J38" s="8">
        <f ca="1">Inventario[[#This Row],[Entrada]]-Inventario[[#This Row],[Salida]]</f>
        <v>0</v>
      </c>
      <c r="K38" s="49">
        <f ca="1">Inventario[[#This Row],[Precio de Salida(S/)]]*Inventario[[#This Row],[Salida]]-Inventario[[#This Row],[Precio Entrada(S/)]]*Inventario[[#This Row],[Entrada]]</f>
        <v>0</v>
      </c>
    </row>
    <row r="39" spans="3:11" x14ac:dyDescent="0.25">
      <c r="C39" s="24"/>
      <c r="D39" s="22"/>
      <c r="E39" s="22"/>
      <c r="F39" s="23"/>
      <c r="G39" s="22"/>
      <c r="H39" s="8">
        <f ca="1">SUMIF(Entrada[],Inventario[[#This Row],[Código]],Entrada[Cantidad])</f>
        <v>0</v>
      </c>
      <c r="I39" s="8">
        <f ca="1">SUMIF(Salida[],Inventario[[#This Row],[Código]],Salida[Cantidad])</f>
        <v>0</v>
      </c>
      <c r="J39" s="8">
        <f ca="1">Inventario[[#This Row],[Entrada]]-Inventario[[#This Row],[Salida]]</f>
        <v>0</v>
      </c>
      <c r="K39" s="49">
        <f ca="1">Inventario[[#This Row],[Precio de Salida(S/)]]*Inventario[[#This Row],[Salida]]-Inventario[[#This Row],[Precio Entrada(S/)]]*Inventario[[#This Row],[Entrada]]</f>
        <v>0</v>
      </c>
    </row>
    <row r="40" spans="3:11" x14ac:dyDescent="0.25">
      <c r="C40" s="2"/>
      <c r="D40" s="1"/>
      <c r="E40" s="1"/>
      <c r="F40" s="3"/>
      <c r="G40" s="1"/>
      <c r="H40" s="8">
        <f ca="1">SUMIF(Entrada[],Inventario[[#This Row],[Código]],Entrada[Cantidad])</f>
        <v>0</v>
      </c>
      <c r="I40" s="8">
        <f ca="1">SUMIF(Salida[],Inventario[[#This Row],[Código]],Salida[Cantidad])</f>
        <v>0</v>
      </c>
      <c r="J40" s="8">
        <f ca="1">Inventario[[#This Row],[Entrada]]-Inventario[[#This Row],[Salida]]</f>
        <v>0</v>
      </c>
      <c r="K40" s="49">
        <f ca="1">Inventario[[#This Row],[Precio de Salida(S/)]]*Inventario[[#This Row],[Salida]]-Inventario[[#This Row],[Precio Entrada(S/)]]*Inventario[[#This Row],[Entrada]]</f>
        <v>0</v>
      </c>
    </row>
    <row r="41" spans="3:11" x14ac:dyDescent="0.25">
      <c r="C41" s="24"/>
      <c r="D41" s="22"/>
      <c r="E41" s="22"/>
      <c r="F41" s="23"/>
      <c r="G41" s="22"/>
      <c r="H41" s="8">
        <f ca="1">SUMIF(Entrada[],Inventario[[#This Row],[Código]],Entrada[Cantidad])</f>
        <v>0</v>
      </c>
      <c r="I41" s="8">
        <f ca="1">SUMIF(Salida[],Inventario[[#This Row],[Código]],Salida[Cantidad])</f>
        <v>0</v>
      </c>
      <c r="J41" s="8">
        <f ca="1">Inventario[[#This Row],[Entrada]]-Inventario[[#This Row],[Salida]]</f>
        <v>0</v>
      </c>
      <c r="K41" s="49">
        <f ca="1">Inventario[[#This Row],[Precio de Salida(S/)]]*Inventario[[#This Row],[Salida]]-Inventario[[#This Row],[Precio Entrada(S/)]]*Inventario[[#This Row],[Entrada]]</f>
        <v>0</v>
      </c>
    </row>
  </sheetData>
  <conditionalFormatting sqref="K8:K41">
    <cfRule type="cellIs" dxfId="0" priority="1" operator="lessThan">
      <formula>5</formula>
    </cfRule>
  </conditionalFormatting>
  <pageMargins left="0.7" right="0.7" top="0.75" bottom="0.75" header="0.3" footer="0.3"/>
  <pageSetup orientation="portrait" horizontalDpi="4294967293" verticalDpi="3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FC0A-1087-4D98-AD04-81BFE32DB618}">
  <sheetPr codeName="Hoja9"/>
  <dimension ref="B3:N20"/>
  <sheetViews>
    <sheetView workbookViewId="0">
      <selection activeCell="G11" sqref="G11"/>
    </sheetView>
  </sheetViews>
  <sheetFormatPr baseColWidth="10" defaultRowHeight="15" x14ac:dyDescent="0.25"/>
  <cols>
    <col min="2" max="2" width="21.28515625" bestFit="1" customWidth="1"/>
    <col min="10" max="10" width="21.28515625" bestFit="1" customWidth="1"/>
  </cols>
  <sheetData>
    <row r="3" spans="2:14" x14ac:dyDescent="0.25">
      <c r="B3" t="s">
        <v>86</v>
      </c>
      <c r="J3" t="s">
        <v>81</v>
      </c>
    </row>
    <row r="4" spans="2:14" x14ac:dyDescent="0.25">
      <c r="C4" t="s">
        <v>88</v>
      </c>
      <c r="D4" t="s">
        <v>78</v>
      </c>
      <c r="E4" t="s">
        <v>79</v>
      </c>
      <c r="F4" t="s">
        <v>89</v>
      </c>
      <c r="K4" t="s">
        <v>88</v>
      </c>
      <c r="L4" t="s">
        <v>78</v>
      </c>
      <c r="M4" t="s">
        <v>79</v>
      </c>
      <c r="N4" t="s">
        <v>89</v>
      </c>
    </row>
    <row r="5" spans="2:14" ht="18.75" x14ac:dyDescent="0.3">
      <c r="B5" s="26" t="s">
        <v>82</v>
      </c>
      <c r="C5" s="26">
        <v>11</v>
      </c>
      <c r="D5" s="26">
        <v>12</v>
      </c>
      <c r="E5" s="26" t="s">
        <v>80</v>
      </c>
      <c r="F5" s="26">
        <v>13</v>
      </c>
      <c r="J5" s="25" t="s">
        <v>92</v>
      </c>
      <c r="K5" s="25">
        <v>20</v>
      </c>
      <c r="L5" s="25">
        <v>15</v>
      </c>
      <c r="M5" s="25" t="s">
        <v>80</v>
      </c>
      <c r="N5" s="50">
        <v>2</v>
      </c>
    </row>
    <row r="6" spans="2:14" ht="18.75" x14ac:dyDescent="0.3">
      <c r="B6" s="8" t="s">
        <v>83</v>
      </c>
      <c r="C6" s="8">
        <v>11</v>
      </c>
      <c r="D6" s="8">
        <v>13</v>
      </c>
      <c r="E6" s="8" t="s">
        <v>80</v>
      </c>
      <c r="F6" s="8">
        <v>12</v>
      </c>
      <c r="J6" s="11" t="s">
        <v>93</v>
      </c>
      <c r="K6" s="11">
        <v>20</v>
      </c>
      <c r="L6" s="11">
        <v>16</v>
      </c>
      <c r="M6" s="11" t="s">
        <v>80</v>
      </c>
      <c r="N6" s="50">
        <v>1</v>
      </c>
    </row>
    <row r="7" spans="2:14" ht="18.75" x14ac:dyDescent="0.3">
      <c r="B7" s="26" t="s">
        <v>84</v>
      </c>
      <c r="C7" s="26">
        <v>16</v>
      </c>
      <c r="D7" s="26">
        <v>14</v>
      </c>
      <c r="E7" s="26" t="s">
        <v>80</v>
      </c>
      <c r="F7" s="26">
        <v>10</v>
      </c>
      <c r="J7" s="25" t="s">
        <v>85</v>
      </c>
      <c r="K7" s="25">
        <v>35</v>
      </c>
      <c r="L7" s="25">
        <v>16</v>
      </c>
      <c r="M7" s="25" t="s">
        <v>80</v>
      </c>
      <c r="N7" s="50">
        <v>2</v>
      </c>
    </row>
    <row r="8" spans="2:14" x14ac:dyDescent="0.25">
      <c r="B8" s="8" t="s">
        <v>85</v>
      </c>
      <c r="C8" s="8">
        <v>16</v>
      </c>
      <c r="D8" s="8">
        <v>15</v>
      </c>
      <c r="E8" s="8" t="s">
        <v>80</v>
      </c>
      <c r="F8" s="8">
        <v>37</v>
      </c>
    </row>
    <row r="9" spans="2:14" x14ac:dyDescent="0.25">
      <c r="B9" s="51" t="s">
        <v>90</v>
      </c>
      <c r="C9" s="51">
        <v>500</v>
      </c>
      <c r="D9" s="51">
        <v>20</v>
      </c>
      <c r="E9" s="51" t="s">
        <v>80</v>
      </c>
      <c r="F9" s="51">
        <v>1</v>
      </c>
    </row>
    <row r="10" spans="2:14" x14ac:dyDescent="0.25">
      <c r="B10" t="s">
        <v>91</v>
      </c>
      <c r="C10">
        <v>100</v>
      </c>
      <c r="D10">
        <v>18</v>
      </c>
      <c r="E10" t="s">
        <v>80</v>
      </c>
      <c r="F10">
        <v>1</v>
      </c>
    </row>
    <row r="13" spans="2:14" x14ac:dyDescent="0.25">
      <c r="C13">
        <f>SUM(C5:C10)</f>
        <v>654</v>
      </c>
      <c r="K13">
        <f>SUM(K5:K7)</f>
        <v>75</v>
      </c>
    </row>
    <row r="19" spans="7:8" x14ac:dyDescent="0.25">
      <c r="G19" s="101" t="s">
        <v>94</v>
      </c>
      <c r="H19" s="101"/>
    </row>
    <row r="20" spans="7:8" x14ac:dyDescent="0.25">
      <c r="G20" s="102">
        <f>K13-C13</f>
        <v>-579</v>
      </c>
      <c r="H20" s="102"/>
    </row>
  </sheetData>
  <mergeCells count="2">
    <mergeCell ref="G19:H19"/>
    <mergeCell ref="G20:H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6A4B27AB-44FD-4E4B-9E39-3ECDD05BEBDD}">
          <x14:formula1>
            <xm:f>'Listas validadas'!$A$5:$A$54</xm:f>
          </x14:formula1>
          <xm:sqref>F5:F8</xm:sqref>
        </x14:dataValidation>
        <x14:dataValidation type="list" allowBlank="1" showInputMessage="1" showErrorMessage="1" xr:uid="{A24F3EF9-7D72-4DB4-9C91-490721F76198}">
          <x14:formula1>
            <xm:f>'Listas validadas'!$A$5:$A$24</xm:f>
          </x14:formula1>
          <xm:sqref>N5:N7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41AE4-B166-4900-AB1E-1ADC0F1125C7}">
  <sheetPr codeName="Hoja10"/>
  <dimension ref="A4:A54"/>
  <sheetViews>
    <sheetView workbookViewId="0">
      <selection activeCell="A5" sqref="A5"/>
    </sheetView>
  </sheetViews>
  <sheetFormatPr baseColWidth="10" defaultRowHeight="15" x14ac:dyDescent="0.25"/>
  <cols>
    <col min="1" max="1" width="19.85546875" customWidth="1"/>
  </cols>
  <sheetData>
    <row r="4" spans="1:1" x14ac:dyDescent="0.25">
      <c r="A4" s="10" t="s">
        <v>68</v>
      </c>
    </row>
    <row r="5" spans="1:1" x14ac:dyDescent="0.25">
      <c r="A5" s="1">
        <v>1</v>
      </c>
    </row>
    <row r="6" spans="1:1" x14ac:dyDescent="0.25">
      <c r="A6" s="1">
        <v>2</v>
      </c>
    </row>
    <row r="7" spans="1:1" x14ac:dyDescent="0.25">
      <c r="A7" s="1">
        <v>3</v>
      </c>
    </row>
    <row r="8" spans="1:1" x14ac:dyDescent="0.25">
      <c r="A8" s="1">
        <v>4</v>
      </c>
    </row>
    <row r="9" spans="1:1" x14ac:dyDescent="0.25">
      <c r="A9" s="1">
        <v>5</v>
      </c>
    </row>
    <row r="10" spans="1:1" x14ac:dyDescent="0.25">
      <c r="A10" s="1">
        <v>6</v>
      </c>
    </row>
    <row r="11" spans="1:1" x14ac:dyDescent="0.25">
      <c r="A11" s="1">
        <v>7</v>
      </c>
    </row>
    <row r="12" spans="1:1" x14ac:dyDescent="0.25">
      <c r="A12" s="1">
        <v>8</v>
      </c>
    </row>
    <row r="13" spans="1:1" x14ac:dyDescent="0.25">
      <c r="A13" s="1">
        <v>9</v>
      </c>
    </row>
    <row r="14" spans="1:1" x14ac:dyDescent="0.25">
      <c r="A14" s="1">
        <v>10</v>
      </c>
    </row>
    <row r="15" spans="1:1" x14ac:dyDescent="0.25">
      <c r="A15" s="1">
        <v>11</v>
      </c>
    </row>
    <row r="16" spans="1:1" x14ac:dyDescent="0.25">
      <c r="A16" s="1">
        <v>12</v>
      </c>
    </row>
    <row r="17" spans="1:1" x14ac:dyDescent="0.25">
      <c r="A17" s="1">
        <v>13</v>
      </c>
    </row>
    <row r="18" spans="1:1" x14ac:dyDescent="0.25">
      <c r="A18" s="1">
        <v>14</v>
      </c>
    </row>
    <row r="19" spans="1:1" x14ac:dyDescent="0.25">
      <c r="A19" s="1">
        <v>15</v>
      </c>
    </row>
    <row r="20" spans="1:1" x14ac:dyDescent="0.25">
      <c r="A20" s="1">
        <v>16</v>
      </c>
    </row>
    <row r="21" spans="1:1" x14ac:dyDescent="0.25">
      <c r="A21" s="1">
        <v>17</v>
      </c>
    </row>
    <row r="22" spans="1:1" x14ac:dyDescent="0.25">
      <c r="A22" s="1">
        <v>18</v>
      </c>
    </row>
    <row r="23" spans="1:1" x14ac:dyDescent="0.25">
      <c r="A23" s="1">
        <v>19</v>
      </c>
    </row>
    <row r="24" spans="1:1" x14ac:dyDescent="0.25">
      <c r="A24" s="1">
        <v>20</v>
      </c>
    </row>
    <row r="25" spans="1:1" x14ac:dyDescent="0.25">
      <c r="A25" s="1">
        <v>21</v>
      </c>
    </row>
    <row r="26" spans="1:1" x14ac:dyDescent="0.25">
      <c r="A26" s="1">
        <v>22</v>
      </c>
    </row>
    <row r="27" spans="1:1" x14ac:dyDescent="0.25">
      <c r="A27" s="1">
        <v>23</v>
      </c>
    </row>
    <row r="28" spans="1:1" x14ac:dyDescent="0.25">
      <c r="A28" s="1">
        <v>24</v>
      </c>
    </row>
    <row r="29" spans="1:1" x14ac:dyDescent="0.25">
      <c r="A29" s="1">
        <v>25</v>
      </c>
    </row>
    <row r="30" spans="1:1" x14ac:dyDescent="0.25">
      <c r="A30" s="1">
        <v>26</v>
      </c>
    </row>
    <row r="31" spans="1:1" x14ac:dyDescent="0.25">
      <c r="A31" s="1">
        <v>27</v>
      </c>
    </row>
    <row r="32" spans="1:1" x14ac:dyDescent="0.25">
      <c r="A32" s="1">
        <v>28</v>
      </c>
    </row>
    <row r="33" spans="1:1" x14ac:dyDescent="0.25">
      <c r="A33" s="1">
        <v>29</v>
      </c>
    </row>
    <row r="34" spans="1:1" x14ac:dyDescent="0.25">
      <c r="A34" s="1">
        <v>30</v>
      </c>
    </row>
    <row r="35" spans="1:1" x14ac:dyDescent="0.25">
      <c r="A35" s="1">
        <v>31</v>
      </c>
    </row>
    <row r="36" spans="1:1" x14ac:dyDescent="0.25">
      <c r="A36" s="1">
        <v>32</v>
      </c>
    </row>
    <row r="37" spans="1:1" x14ac:dyDescent="0.25">
      <c r="A37" s="1">
        <v>33</v>
      </c>
    </row>
    <row r="38" spans="1:1" x14ac:dyDescent="0.25">
      <c r="A38" s="1">
        <v>34</v>
      </c>
    </row>
    <row r="39" spans="1:1" x14ac:dyDescent="0.25">
      <c r="A39" s="1">
        <v>35</v>
      </c>
    </row>
    <row r="40" spans="1:1" x14ac:dyDescent="0.25">
      <c r="A40" s="1">
        <v>36</v>
      </c>
    </row>
    <row r="41" spans="1:1" x14ac:dyDescent="0.25">
      <c r="A41" s="1">
        <v>37</v>
      </c>
    </row>
    <row r="42" spans="1:1" x14ac:dyDescent="0.25">
      <c r="A42" s="1">
        <v>38</v>
      </c>
    </row>
    <row r="43" spans="1:1" x14ac:dyDescent="0.25">
      <c r="A43" s="1">
        <v>39</v>
      </c>
    </row>
    <row r="44" spans="1:1" x14ac:dyDescent="0.25">
      <c r="A44" s="1">
        <v>40</v>
      </c>
    </row>
    <row r="45" spans="1:1" x14ac:dyDescent="0.25">
      <c r="A45" s="1">
        <v>41</v>
      </c>
    </row>
    <row r="46" spans="1:1" x14ac:dyDescent="0.25">
      <c r="A46" s="1">
        <v>42</v>
      </c>
    </row>
    <row r="47" spans="1:1" x14ac:dyDescent="0.25">
      <c r="A47" s="1">
        <v>43</v>
      </c>
    </row>
    <row r="48" spans="1:1" x14ac:dyDescent="0.25">
      <c r="A48" s="1">
        <v>44</v>
      </c>
    </row>
    <row r="49" spans="1:1" x14ac:dyDescent="0.25">
      <c r="A49" s="1">
        <v>45</v>
      </c>
    </row>
    <row r="50" spans="1:1" x14ac:dyDescent="0.25">
      <c r="A50" s="1">
        <v>46</v>
      </c>
    </row>
    <row r="51" spans="1:1" x14ac:dyDescent="0.25">
      <c r="A51" s="1">
        <v>47</v>
      </c>
    </row>
    <row r="52" spans="1:1" x14ac:dyDescent="0.25">
      <c r="A52" s="1">
        <v>48</v>
      </c>
    </row>
    <row r="53" spans="1:1" x14ac:dyDescent="0.25">
      <c r="A53" s="1">
        <v>49</v>
      </c>
    </row>
    <row r="54" spans="1:1" x14ac:dyDescent="0.25">
      <c r="A54" s="1">
        <v>50</v>
      </c>
    </row>
  </sheetData>
  <pageMargins left="0.7" right="0.7" top="0.75" bottom="0.75" header="0.3" footer="0.3"/>
  <pageSetup orientation="portrait" horizontalDpi="4294967293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4A44-35D7-4733-B90C-82BB59B033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Inicio</vt:lpstr>
      <vt:lpstr>Lista de Productos</vt:lpstr>
      <vt:lpstr>Entrada</vt:lpstr>
      <vt:lpstr>Entrada Gastos Fijos</vt:lpstr>
      <vt:lpstr>Salida</vt:lpstr>
      <vt:lpstr>Ingresos-Gastos</vt:lpstr>
      <vt:lpstr>Tablas</vt:lpstr>
      <vt:lpstr>Inventario</vt:lpstr>
      <vt:lpstr>INGRESOS EGRESOS</vt:lpstr>
      <vt:lpstr>Listas validadas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2022-01-29T07:22:23Z</dcterms:created>
  <dcterms:modified xsi:type="dcterms:W3CDTF">2023-01-24T06:08:53Z</dcterms:modified>
</cp:coreProperties>
</file>